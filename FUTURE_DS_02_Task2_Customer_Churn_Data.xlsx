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sanj\Desktop\project\Future interns\"/>
    </mc:Choice>
  </mc:AlternateContent>
  <xr:revisionPtr revIDLastSave="0" documentId="13_ncr:1_{69C743F8-2A98-426F-8C3C-1770CDC17DA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leaned Data" sheetId="3" r:id="rId1"/>
    <sheet name="KPI Summary" sheetId="4" r:id="rId2"/>
    <sheet name="Churn Analysis" sheetId="5" r:id="rId3"/>
    <sheet name="Dashboard" sheetId="7" r:id="rId4"/>
    <sheet name="Raw Customer Data" sheetId="1" r:id="rId5"/>
  </sheets>
  <definedNames>
    <definedName name="_xlnm._FilterDatabase" localSheetId="0" hidden="1">'Cleaned Data'!$A$1:$O$1001</definedName>
    <definedName name="_xlnm._FilterDatabase" localSheetId="4" hidden="1">'Raw Customer Data'!$A$1:$O$1001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4" l="1"/>
  <c r="B8" i="4"/>
  <c r="B7" i="4"/>
  <c r="B4" i="4"/>
  <c r="B3" i="4"/>
  <c r="B2" i="4"/>
</calcChain>
</file>

<file path=xl/sharedStrings.xml><?xml version="1.0" encoding="utf-8"?>
<sst xmlns="http://schemas.openxmlformats.org/spreadsheetml/2006/main" count="18159" uniqueCount="1087">
  <si>
    <t>Customer ID</t>
  </si>
  <si>
    <t>Signup Date</t>
  </si>
  <si>
    <t>Cohort Month</t>
  </si>
  <si>
    <t>Subscription Plan</t>
  </si>
  <si>
    <t>Region</t>
  </si>
  <si>
    <t>Age Group</t>
  </si>
  <si>
    <t>Customer Segment</t>
  </si>
  <si>
    <t>Acquisition Channel</t>
  </si>
  <si>
    <t>Tenure (Months)</t>
  </si>
  <si>
    <t>Monthly Charges</t>
  </si>
  <si>
    <t>Total Charges</t>
  </si>
  <si>
    <t>Churn Status</t>
  </si>
  <si>
    <t>Churn Reason</t>
  </si>
  <si>
    <t>Last Active Date</t>
  </si>
  <si>
    <t>Customer Lifetime Value</t>
  </si>
  <si>
    <t>CUST1845</t>
  </si>
  <si>
    <t>2025-01</t>
  </si>
  <si>
    <t>Premium</t>
  </si>
  <si>
    <t>West</t>
  </si>
  <si>
    <t>36-45</t>
  </si>
  <si>
    <t>Small Business</t>
  </si>
  <si>
    <t>Online</t>
  </si>
  <si>
    <t>Active</t>
  </si>
  <si>
    <t>CUST1846</t>
  </si>
  <si>
    <t>Standard</t>
  </si>
  <si>
    <t>South</t>
  </si>
  <si>
    <t>Enterprise</t>
  </si>
  <si>
    <t>CUST1381</t>
  </si>
  <si>
    <t>North</t>
  </si>
  <si>
    <t>26-35</t>
  </si>
  <si>
    <t>Churned</t>
  </si>
  <si>
    <t>Price too high</t>
  </si>
  <si>
    <t>CUST1901</t>
  </si>
  <si>
    <t>18-25</t>
  </si>
  <si>
    <t>Social Media</t>
  </si>
  <si>
    <t>CUST1773</t>
  </si>
  <si>
    <t>Poor service</t>
  </si>
  <si>
    <t>CUST1104</t>
  </si>
  <si>
    <t>46-55</t>
  </si>
  <si>
    <t>Individual</t>
  </si>
  <si>
    <t>Referral</t>
  </si>
  <si>
    <t>Technical issues</t>
  </si>
  <si>
    <t>CUST1465</t>
  </si>
  <si>
    <t>Switched competitor</t>
  </si>
  <si>
    <t>CUST1575</t>
  </si>
  <si>
    <t>Partner</t>
  </si>
  <si>
    <t>CUST1707</t>
  </si>
  <si>
    <t>CUST1303</t>
  </si>
  <si>
    <t>CUST1801</t>
  </si>
  <si>
    <t>Basic</t>
  </si>
  <si>
    <t>East</t>
  </si>
  <si>
    <t>56+</t>
  </si>
  <si>
    <t>CUST1790</t>
  </si>
  <si>
    <t>CUST1410</t>
  </si>
  <si>
    <t>CUST1839</t>
  </si>
  <si>
    <t>CUST1889</t>
  </si>
  <si>
    <t>CUST1478</t>
  </si>
  <si>
    <t>CUST1415</t>
  </si>
  <si>
    <t>CUST1540</t>
  </si>
  <si>
    <t>CUST1300</t>
  </si>
  <si>
    <t>CUST1233</t>
  </si>
  <si>
    <t>CUST1369</t>
  </si>
  <si>
    <t>CUST1170</t>
  </si>
  <si>
    <t>CUST1821</t>
  </si>
  <si>
    <t>CUST1272</t>
  </si>
  <si>
    <t>CUST1454</t>
  </si>
  <si>
    <t>CUST1429</t>
  </si>
  <si>
    <t>CUST1830</t>
  </si>
  <si>
    <t>CUST1138</t>
  </si>
  <si>
    <t>CUST1787</t>
  </si>
  <si>
    <t>CUST1385</t>
  </si>
  <si>
    <t>CUST1147</t>
  </si>
  <si>
    <t>CUST1663</t>
  </si>
  <si>
    <t>CUST1117</t>
  </si>
  <si>
    <t>CUST1328</t>
  </si>
  <si>
    <t>CUST1970</t>
  </si>
  <si>
    <t>CUST1844</t>
  </si>
  <si>
    <t>CUST1870</t>
  </si>
  <si>
    <t>CUST1817</t>
  </si>
  <si>
    <t>CUST1562</t>
  </si>
  <si>
    <t>Not using service</t>
  </si>
  <si>
    <t>CUST1250</t>
  </si>
  <si>
    <t>CUST1902</t>
  </si>
  <si>
    <t>CUST1056</t>
  </si>
  <si>
    <t>CUST1811</t>
  </si>
  <si>
    <t>CUST1397</t>
  </si>
  <si>
    <t>CUST1352</t>
  </si>
  <si>
    <t>CUST1574</t>
  </si>
  <si>
    <t>CUST1848</t>
  </si>
  <si>
    <t>CUST1699</t>
  </si>
  <si>
    <t>CUST1584</t>
  </si>
  <si>
    <t>CUST1887</t>
  </si>
  <si>
    <t>CUST1898</t>
  </si>
  <si>
    <t>CUST1546</t>
  </si>
  <si>
    <t>CUST1542</t>
  </si>
  <si>
    <t>CUST1858</t>
  </si>
  <si>
    <t>CUST1150</t>
  </si>
  <si>
    <t>CUST1619</t>
  </si>
  <si>
    <t>CUST1279</t>
  </si>
  <si>
    <t>CUST1036</t>
  </si>
  <si>
    <t>CUST1518</t>
  </si>
  <si>
    <t>CUST1387</t>
  </si>
  <si>
    <t>CUST1045</t>
  </si>
  <si>
    <t>CUST1899</t>
  </si>
  <si>
    <t>CUST1659</t>
  </si>
  <si>
    <t>CUST1069</t>
  </si>
  <si>
    <t>CUST1127</t>
  </si>
  <si>
    <t>CUST1217</t>
  </si>
  <si>
    <t>CUST1439</t>
  </si>
  <si>
    <t>CUST1246</t>
  </si>
  <si>
    <t>CUST1280</t>
  </si>
  <si>
    <t>CUST1431</t>
  </si>
  <si>
    <t>CUST1678</t>
  </si>
  <si>
    <t>CUST1007</t>
  </si>
  <si>
    <t>2025-02</t>
  </si>
  <si>
    <t>CUST1753</t>
  </si>
  <si>
    <t>CUST1196</t>
  </si>
  <si>
    <t>CUST1881</t>
  </si>
  <si>
    <t>CUST1001</t>
  </si>
  <si>
    <t>CUST1172</t>
  </si>
  <si>
    <t>CUST1728</t>
  </si>
  <si>
    <t>CUST1695</t>
  </si>
  <si>
    <t>CUST1033</t>
  </si>
  <si>
    <t>CUST1910</t>
  </si>
  <si>
    <t>CUST1826</t>
  </si>
  <si>
    <t>CUST1133</t>
  </si>
  <si>
    <t>CUST1359</t>
  </si>
  <si>
    <t>CUST1581</t>
  </si>
  <si>
    <t>CUST1791</t>
  </si>
  <si>
    <t>CUST1951</t>
  </si>
  <si>
    <t>CUST1376</t>
  </si>
  <si>
    <t>CUST1977</t>
  </si>
  <si>
    <t>CUST1010</t>
  </si>
  <si>
    <t>CUST1674</t>
  </si>
  <si>
    <t>CUST1243</t>
  </si>
  <si>
    <t>CUST1700</t>
  </si>
  <si>
    <t>CUST1218</t>
  </si>
  <si>
    <t>CUST1087</t>
  </si>
  <si>
    <t>CUST1588</t>
  </si>
  <si>
    <t>CUST1891</t>
  </si>
  <si>
    <t>CUST1258</t>
  </si>
  <si>
    <t>CUST1580</t>
  </si>
  <si>
    <t>CUST1516</t>
  </si>
  <si>
    <t>CUST1171</t>
  </si>
  <si>
    <t>CUST1583</t>
  </si>
  <si>
    <t>CUST1460</t>
  </si>
  <si>
    <t>CUST1818</t>
  </si>
  <si>
    <t>CUST1310</t>
  </si>
  <si>
    <t>CUST1480</t>
  </si>
  <si>
    <t>CUST1322</t>
  </si>
  <si>
    <t>CUST1808</t>
  </si>
  <si>
    <t>CUST1501</t>
  </si>
  <si>
    <t>CUST1120</t>
  </si>
  <si>
    <t>CUST1873</t>
  </si>
  <si>
    <t>CUST1538</t>
  </si>
  <si>
    <t>CUST1365</t>
  </si>
  <si>
    <t>CUST1726</t>
  </si>
  <si>
    <t>CUST1198</t>
  </si>
  <si>
    <t>CUST1313</t>
  </si>
  <si>
    <t>CUST1724</t>
  </si>
  <si>
    <t>CUST1946</t>
  </si>
  <si>
    <t>CUST1863</t>
  </si>
  <si>
    <t>CUST1778</t>
  </si>
  <si>
    <t>CUST1497</t>
  </si>
  <si>
    <t>CUST1783</t>
  </si>
  <si>
    <t>CUST1418</t>
  </si>
  <si>
    <t>CUST1784</t>
  </si>
  <si>
    <t>CUST1386</t>
  </si>
  <si>
    <t>CUST1874</t>
  </si>
  <si>
    <t>CUST1436</t>
  </si>
  <si>
    <t>CUST1759</t>
  </si>
  <si>
    <t>CUST1157</t>
  </si>
  <si>
    <t>CUST1018</t>
  </si>
  <si>
    <t>CUST1221</t>
  </si>
  <si>
    <t>CUST1074</t>
  </si>
  <si>
    <t>CUST1945</t>
  </si>
  <si>
    <t>CUST1705</t>
  </si>
  <si>
    <t>CUST1434</t>
  </si>
  <si>
    <t>CUST1948</t>
  </si>
  <si>
    <t>CUST1443</t>
  </si>
  <si>
    <t>CUST1670</t>
  </si>
  <si>
    <t>CUST1414</t>
  </si>
  <si>
    <t>CUST1823</t>
  </si>
  <si>
    <t>CUST1604</t>
  </si>
  <si>
    <t>CUST1721</t>
  </si>
  <si>
    <t>CUST1682</t>
  </si>
  <si>
    <t>CUST1306</t>
  </si>
  <si>
    <t>CUST1462</t>
  </si>
  <si>
    <t>CUST1329</t>
  </si>
  <si>
    <t>CUST1620</t>
  </si>
  <si>
    <t>CUST1118</t>
  </si>
  <si>
    <t>CUST1769</t>
  </si>
  <si>
    <t>CUST1241</t>
  </si>
  <si>
    <t>CUST1100</t>
  </si>
  <si>
    <t>CUST1924</t>
  </si>
  <si>
    <t>CUST1408</t>
  </si>
  <si>
    <t>CUST1834</t>
  </si>
  <si>
    <t>CUST1528</t>
  </si>
  <si>
    <t>CUST1256</t>
  </si>
  <si>
    <t>CUST1975</t>
  </si>
  <si>
    <t>CUST1522</t>
  </si>
  <si>
    <t>CUST1752</t>
  </si>
  <si>
    <t>CUST1457</t>
  </si>
  <si>
    <t>CUST1938</t>
  </si>
  <si>
    <t>CUST1357</t>
  </si>
  <si>
    <t>CUST1390</t>
  </si>
  <si>
    <t>CUST1182</t>
  </si>
  <si>
    <t>CUST1273</t>
  </si>
  <si>
    <t>CUST1058</t>
  </si>
  <si>
    <t>CUST1536</t>
  </si>
  <si>
    <t>CUST1961</t>
  </si>
  <si>
    <t>CUST1884</t>
  </si>
  <si>
    <t>CUST1533</t>
  </si>
  <si>
    <t>CUST1750</t>
  </si>
  <si>
    <t>CUST1847</t>
  </si>
  <si>
    <t>CUST1937</t>
  </si>
  <si>
    <t>CUST1178</t>
  </si>
  <si>
    <t>CUST1083</t>
  </si>
  <si>
    <t>CUST1287</t>
  </si>
  <si>
    <t>CUST1467</t>
  </si>
  <si>
    <t>2025-03</t>
  </si>
  <si>
    <t>CUST1168</t>
  </si>
  <si>
    <t>CUST1350</t>
  </si>
  <si>
    <t>CUST1532</t>
  </si>
  <si>
    <t>CUST1041</t>
  </si>
  <si>
    <t>CUST1623</t>
  </si>
  <si>
    <t>CUST1187</t>
  </si>
  <si>
    <t>CUST1703</t>
  </si>
  <si>
    <t>CUST1685</t>
  </si>
  <si>
    <t>CUST1704</t>
  </si>
  <si>
    <t>CUST1262</t>
  </si>
  <si>
    <t>CUST1411</t>
  </si>
  <si>
    <t>CUST1908</t>
  </si>
  <si>
    <t>CUST1259</t>
  </si>
  <si>
    <t>CUST1544</t>
  </si>
  <si>
    <t>CUST1230</t>
  </si>
  <si>
    <t>CUST1761</t>
  </si>
  <si>
    <t>CUST1661</t>
  </si>
  <si>
    <t>CUST1392</t>
  </si>
  <si>
    <t>CUST1349</t>
  </si>
  <si>
    <t>CUST1251</t>
  </si>
  <si>
    <t>CUST1023</t>
  </si>
  <si>
    <t>CUST1469</t>
  </si>
  <si>
    <t>CUST1635</t>
  </si>
  <si>
    <t>CUST1564</t>
  </si>
  <si>
    <t>CUST1912</t>
  </si>
  <si>
    <t>CUST1253</t>
  </si>
  <si>
    <t>CUST1072</t>
  </si>
  <si>
    <t>CUST1888</t>
  </si>
  <si>
    <t>CUST1523</t>
  </si>
  <si>
    <t>CUST1398</t>
  </si>
  <si>
    <t>CUST1993</t>
  </si>
  <si>
    <t>CUST1052</t>
  </si>
  <si>
    <t>CUST1543</t>
  </si>
  <si>
    <t>CUST1426</t>
  </si>
  <si>
    <t>CUST1838</t>
  </si>
  <si>
    <t>CUST1102</t>
  </si>
  <si>
    <t>CUST1653</t>
  </si>
  <si>
    <t>CUST1224</t>
  </si>
  <si>
    <t>CUST1339</t>
  </si>
  <si>
    <t>CUST1872</t>
  </si>
  <si>
    <t>CUST1664</t>
  </si>
  <si>
    <t>CUST1009</t>
  </si>
  <si>
    <t>CUST1735</t>
  </si>
  <si>
    <t>CUST1142</t>
  </si>
  <si>
    <t>CUST1903</t>
  </si>
  <si>
    <t>CUST1964</t>
  </si>
  <si>
    <t>CUST1363</t>
  </si>
  <si>
    <t>CUST1976</t>
  </si>
  <si>
    <t>CUST1078</t>
  </si>
  <si>
    <t>CUST1032</t>
  </si>
  <si>
    <t>CUST1412</t>
  </si>
  <si>
    <t>CUST1567</t>
  </si>
  <si>
    <t>CUST1486</t>
  </si>
  <si>
    <t>CUST1326</t>
  </si>
  <si>
    <t>CUST1626</t>
  </si>
  <si>
    <t>CUST1637</t>
  </si>
  <si>
    <t>CUST1148</t>
  </si>
  <si>
    <t>CUST1327</t>
  </si>
  <si>
    <t>CUST1510</t>
  </si>
  <si>
    <t>CUST1719</t>
  </si>
  <si>
    <t>CUST1566</t>
  </si>
  <si>
    <t>CUST1854</t>
  </si>
  <si>
    <t>CUST1097</t>
  </si>
  <si>
    <t>CUST1593</t>
  </si>
  <si>
    <t>CUST1832</t>
  </si>
  <si>
    <t>CUST1384</t>
  </si>
  <si>
    <t>CUST1189</t>
  </si>
  <si>
    <t>CUST1989</t>
  </si>
  <si>
    <t>CUST1315</t>
  </si>
  <si>
    <t>CUST1831</t>
  </si>
  <si>
    <t>CUST1857</t>
  </si>
  <si>
    <t>CUST1119</t>
  </si>
  <si>
    <t>CUST1925</t>
  </si>
  <si>
    <t>2025-04</t>
  </si>
  <si>
    <t>CUST1508</t>
  </si>
  <si>
    <t>CUST1617</t>
  </si>
  <si>
    <t>CUST1568</t>
  </si>
  <si>
    <t>CUST1483</t>
  </si>
  <si>
    <t>CUST1919</t>
  </si>
  <si>
    <t>CUST1696</t>
  </si>
  <si>
    <t>CUST1933</t>
  </si>
  <si>
    <t>CUST1346</t>
  </si>
  <si>
    <t>CUST1211</t>
  </si>
  <si>
    <t>CUST1380</t>
  </si>
  <si>
    <t>CUST1209</t>
  </si>
  <si>
    <t>CUST1618</t>
  </si>
  <si>
    <t>CUST1206</t>
  </si>
  <si>
    <t>CUST1292</t>
  </si>
  <si>
    <t>CUST1779</t>
  </si>
  <si>
    <t>CUST1509</t>
  </si>
  <si>
    <t>CUST1890</t>
  </si>
  <si>
    <t>CUST1744</t>
  </si>
  <si>
    <t>CUST1216</t>
  </si>
  <si>
    <t>CUST1281</t>
  </si>
  <si>
    <t>CUST1143</t>
  </si>
  <si>
    <t>CUST1505</t>
  </si>
  <si>
    <t>CUST1111</t>
  </si>
  <si>
    <t>CUST1950</t>
  </si>
  <si>
    <t>CUST1039</t>
  </si>
  <si>
    <t>CUST1413</t>
  </si>
  <si>
    <t>CUST1152</t>
  </si>
  <si>
    <t>CUST1314</t>
  </si>
  <si>
    <t>CUST1399</t>
  </si>
  <si>
    <t>CUST1534</t>
  </si>
  <si>
    <t>CUST1573</t>
  </si>
  <si>
    <t>CUST1299</t>
  </si>
  <si>
    <t>CUST1814</t>
  </si>
  <si>
    <t>CUST1450</t>
  </si>
  <si>
    <t>CUST1481</t>
  </si>
  <si>
    <t>CUST1841</t>
  </si>
  <si>
    <t>CUST1660</t>
  </si>
  <si>
    <t>CUST1495</t>
  </si>
  <si>
    <t>CUST1096</t>
  </si>
  <si>
    <t>CUST1855</t>
  </si>
  <si>
    <t>CUST1342</t>
  </si>
  <si>
    <t>CUST1796</t>
  </si>
  <si>
    <t>CUST1154</t>
  </si>
  <si>
    <t>CUST1271</t>
  </si>
  <si>
    <t>CUST1638</t>
  </si>
  <si>
    <t>CUST1419</t>
  </si>
  <si>
    <t>CUST1263</t>
  </si>
  <si>
    <t>CUST1928</t>
  </si>
  <si>
    <t>CUST1353</t>
  </si>
  <si>
    <t>CUST1442</t>
  </si>
  <si>
    <t>CUST1971</t>
  </si>
  <si>
    <t>CUST1190</t>
  </si>
  <si>
    <t>CUST1802</t>
  </si>
  <si>
    <t>CUST1307</t>
  </si>
  <si>
    <t>CUST1136</t>
  </si>
  <si>
    <t>CUST1952</t>
  </si>
  <si>
    <t>CUST1226</t>
  </si>
  <si>
    <t>CUST1239</t>
  </si>
  <si>
    <t>CUST1333</t>
  </si>
  <si>
    <t>CUST1526</t>
  </si>
  <si>
    <t>CUST1400</t>
  </si>
  <si>
    <t>CUST1749</t>
  </si>
  <si>
    <t>CUST1088</t>
  </si>
  <si>
    <t>CUST1447</t>
  </si>
  <si>
    <t>CUST1748</t>
  </si>
  <si>
    <t>CUST1968</t>
  </si>
  <si>
    <t>CUST1799</t>
  </si>
  <si>
    <t>CUST1309</t>
  </si>
  <si>
    <t>CUST1988</t>
  </si>
  <si>
    <t>CUST1368</t>
  </si>
  <si>
    <t>CUST1338</t>
  </si>
  <si>
    <t>CUST1403</t>
  </si>
  <si>
    <t>CUST1525</t>
  </si>
  <si>
    <t>CUST1554</t>
  </si>
  <si>
    <t>CUST1321</t>
  </si>
  <si>
    <t>CUST1607</t>
  </si>
  <si>
    <t>CUST1595</t>
  </si>
  <si>
    <t>CUST1167</t>
  </si>
  <si>
    <t>CUST1066</t>
  </si>
  <si>
    <t>CUST1632</t>
  </si>
  <si>
    <t>CUST1646</t>
  </si>
  <si>
    <t>CUST1077</t>
  </si>
  <si>
    <t>2025-05</t>
  </si>
  <si>
    <t>CUST1254</t>
  </si>
  <si>
    <t>CUST1294</t>
  </si>
  <si>
    <t>CUST1738</t>
  </si>
  <si>
    <t>CUST1487</t>
  </si>
  <si>
    <t>CUST1371</t>
  </si>
  <si>
    <t>CUST1169</t>
  </si>
  <si>
    <t>CUST1199</t>
  </si>
  <si>
    <t>CUST1627</t>
  </si>
  <si>
    <t>CUST1991</t>
  </si>
  <si>
    <t>CUST1197</t>
  </si>
  <si>
    <t>CUST1268</t>
  </si>
  <si>
    <t>CUST1139</t>
  </si>
  <si>
    <t>CUST1979</t>
  </si>
  <si>
    <t>CUST1044</t>
  </si>
  <si>
    <t>CUST1521</t>
  </si>
  <si>
    <t>CUST1765</t>
  </si>
  <si>
    <t>CUST1998</t>
  </si>
  <si>
    <t>CUST1053</t>
  </si>
  <si>
    <t>CUST1301</t>
  </si>
  <si>
    <t>CUST1746</t>
  </si>
  <si>
    <t>CUST1194</t>
  </si>
  <si>
    <t>CUST1063</t>
  </si>
  <si>
    <t>CUST1201</t>
  </si>
  <si>
    <t>CUST1630</t>
  </si>
  <si>
    <t>CUST1393</t>
  </si>
  <si>
    <t>CUST1628</t>
  </si>
  <si>
    <t>CUST1068</t>
  </si>
  <si>
    <t>CUST1022</t>
  </si>
  <si>
    <t>CUST1332</t>
  </si>
  <si>
    <t>CUST1909</t>
  </si>
  <si>
    <t>CUST1498</t>
  </si>
  <si>
    <t>CUST1374</t>
  </si>
  <si>
    <t>CUST1576</t>
  </si>
  <si>
    <t>CUST1913</t>
  </si>
  <si>
    <t>CUST1770</t>
  </si>
  <si>
    <t>CUST1634</t>
  </si>
  <si>
    <t>CUST1379</t>
  </si>
  <si>
    <t>CUST1188</t>
  </si>
  <si>
    <t>CUST1758</t>
  </si>
  <si>
    <t>CUST1614</t>
  </si>
  <si>
    <t>CUST1094</t>
  </si>
  <si>
    <t>CUST1809</t>
  </si>
  <si>
    <t>CUST1552</t>
  </si>
  <si>
    <t>CUST1440</t>
  </si>
  <si>
    <t>CUST1957</t>
  </si>
  <si>
    <t>CUST1027</t>
  </si>
  <si>
    <t>CUST1942</t>
  </si>
  <si>
    <t>CUST1585</t>
  </si>
  <si>
    <t>CUST1687</t>
  </si>
  <si>
    <t>CUST1164</t>
  </si>
  <si>
    <t>CUST1163</t>
  </si>
  <si>
    <t>CUST1962</t>
  </si>
  <si>
    <t>CUST1065</t>
  </si>
  <si>
    <t>CUST1373</t>
  </si>
  <si>
    <t>CUST1144</t>
  </si>
  <si>
    <t>CUST1907</t>
  </si>
  <si>
    <t>CUST1496</t>
  </si>
  <si>
    <t>CUST1960</t>
  </si>
  <si>
    <t>CUST1572</t>
  </si>
  <si>
    <t>2025-06</t>
  </si>
  <si>
    <t>CUST1248</t>
  </si>
  <si>
    <t>CUST1972</t>
  </si>
  <si>
    <t>CUST1464</t>
  </si>
  <si>
    <t>CUST1425</t>
  </si>
  <si>
    <t>CUST1929</t>
  </si>
  <si>
    <t>CUST1275</t>
  </si>
  <si>
    <t>CUST1624</t>
  </si>
  <si>
    <t>CUST1165</t>
  </si>
  <si>
    <t>CUST1732</t>
  </si>
  <si>
    <t>CUST1777</t>
  </si>
  <si>
    <t>CUST1500</t>
  </si>
  <si>
    <t>CUST1954</t>
  </si>
  <si>
    <t>CUST1547</t>
  </si>
  <si>
    <t>CUST1238</t>
  </si>
  <si>
    <t>CUST1994</t>
  </si>
  <si>
    <t>CUST1795</t>
  </si>
  <si>
    <t>CUST1473</t>
  </si>
  <si>
    <t>CUST1621</t>
  </si>
  <si>
    <t>CUST1633</t>
  </si>
  <si>
    <t>CUST1435</t>
  </si>
  <si>
    <t>CUST1354</t>
  </si>
  <si>
    <t>CUST1005</t>
  </si>
  <si>
    <t>CUST1155</t>
  </si>
  <si>
    <t>CUST1407</t>
  </si>
  <si>
    <t>CUST1091</t>
  </si>
  <si>
    <t>CUST1756</t>
  </si>
  <si>
    <t>CUST1140</t>
  </si>
  <si>
    <t>CUST1082</t>
  </si>
  <si>
    <t>CUST1121</t>
  </si>
  <si>
    <t>CUST1298</t>
  </si>
  <si>
    <t>CUST1004</t>
  </si>
  <si>
    <t>CUST1935</t>
  </si>
  <si>
    <t>CUST1800</t>
  </si>
  <si>
    <t>CUST1285</t>
  </si>
  <si>
    <t>CUST1030</t>
  </si>
  <si>
    <t>CUST1689</t>
  </si>
  <si>
    <t>CUST1186</t>
  </si>
  <si>
    <t>CUST1869</t>
  </si>
  <si>
    <t>CUST1923</t>
  </si>
  <si>
    <t>CUST1047</t>
  </si>
  <si>
    <t>CUST1219</t>
  </si>
  <si>
    <t>CUST1883</t>
  </si>
  <si>
    <t>CUST1267</t>
  </si>
  <si>
    <t>CUST1031</t>
  </si>
  <si>
    <t>CUST1214</t>
  </si>
  <si>
    <t>CUST1020</t>
  </si>
  <si>
    <t>CUST1506</t>
  </si>
  <si>
    <t>CUST1833</t>
  </si>
  <si>
    <t>CUST1792</t>
  </si>
  <si>
    <t>CUST1537</t>
  </si>
  <si>
    <t>CUST1222</t>
  </si>
  <si>
    <t>CUST1205</t>
  </si>
  <si>
    <t>CUST1871</t>
  </si>
  <si>
    <t>CUST1798</t>
  </si>
  <si>
    <t>CUST1916</t>
  </si>
  <si>
    <t>CUST1114</t>
  </si>
  <si>
    <t>CUST1335</t>
  </si>
  <si>
    <t>CUST1905</t>
  </si>
  <si>
    <t>CUST1647</t>
  </si>
  <si>
    <t>CUST1612</t>
  </si>
  <si>
    <t>CUST1939</t>
  </si>
  <si>
    <t>CUST1176</t>
  </si>
  <si>
    <t>CUST1073</t>
  </si>
  <si>
    <t>CUST1485</t>
  </si>
  <si>
    <t>CUST1231</t>
  </si>
  <si>
    <t>CUST1474</t>
  </si>
  <si>
    <t>CUST1710</t>
  </si>
  <si>
    <t>CUST1054</t>
  </si>
  <si>
    <t>CUST1277</t>
  </si>
  <si>
    <t>CUST1070</t>
  </si>
  <si>
    <t>CUST1124</t>
  </si>
  <si>
    <t>CUST1367</t>
  </si>
  <si>
    <t>CUST1109</t>
  </si>
  <si>
    <t>CUST1290</t>
  </si>
  <si>
    <t>CUST1709</t>
  </si>
  <si>
    <t>CUST1519</t>
  </si>
  <si>
    <t>CUST1944</t>
  </si>
  <si>
    <t>CUST1076</t>
  </si>
  <si>
    <t>CUST1974</t>
  </si>
  <si>
    <t>CUST1973</t>
  </si>
  <si>
    <t>CUST1622</t>
  </si>
  <si>
    <t>CUST1768</t>
  </si>
  <si>
    <t>CUST1785</t>
  </si>
  <si>
    <t>CUST1644</t>
  </si>
  <si>
    <t>CUST1276</t>
  </si>
  <si>
    <t>CUST1282</t>
  </si>
  <si>
    <t>CUST1651</t>
  </si>
  <si>
    <t>CUST1729</t>
  </si>
  <si>
    <t>CUST1444</t>
  </si>
  <si>
    <t>CUST1718</t>
  </si>
  <si>
    <t>CUST1563</t>
  </si>
  <si>
    <t>CUST1284</t>
  </si>
  <si>
    <t>CUST1235</t>
  </si>
  <si>
    <t>CUST1252</t>
  </si>
  <si>
    <t>CUST1203</t>
  </si>
  <si>
    <t>CUST1185</t>
  </si>
  <si>
    <t>CUST1183</t>
  </si>
  <si>
    <t>2025-07</t>
  </si>
  <si>
    <t>CUST1055</t>
  </si>
  <si>
    <t>CUST1180</t>
  </si>
  <si>
    <t>CUST1021</t>
  </si>
  <si>
    <t>CUST1405</t>
  </si>
  <si>
    <t>CUST1453</t>
  </si>
  <si>
    <t>CUST1406</t>
  </si>
  <si>
    <t>CUST1667</t>
  </si>
  <si>
    <t>CUST1556</t>
  </si>
  <si>
    <t>CUST1876</t>
  </si>
  <si>
    <t>CUST1420</t>
  </si>
  <si>
    <t>CUST1629</t>
  </si>
  <si>
    <t>CUST1115</t>
  </si>
  <si>
    <t>CUST1159</t>
  </si>
  <si>
    <t>CUST1445</t>
  </si>
  <si>
    <t>CUST1940</t>
  </si>
  <si>
    <t>CUST1897</t>
  </si>
  <si>
    <t>CUST2000</t>
  </si>
  <si>
    <t>CUST1608</t>
  </si>
  <si>
    <t>CUST1344</t>
  </si>
  <si>
    <t>CUST1017</t>
  </si>
  <si>
    <t>CUST1549</t>
  </si>
  <si>
    <t>CUST1803</t>
  </si>
  <si>
    <t>CUST1717</t>
  </si>
  <si>
    <t>CUST1701</t>
  </si>
  <si>
    <t>CUST1366</t>
  </si>
  <si>
    <t>CUST1679</t>
  </si>
  <si>
    <t>CUST1893</t>
  </si>
  <si>
    <t>CUST1712</t>
  </si>
  <si>
    <t>CUST1449</t>
  </si>
  <si>
    <t>CUST1296</t>
  </si>
  <si>
    <t>CUST1578</t>
  </si>
  <si>
    <t>CUST1997</t>
  </si>
  <si>
    <t>CUST1011</t>
  </si>
  <si>
    <t>CUST1507</t>
  </si>
  <si>
    <t>CUST1488</t>
  </si>
  <si>
    <t>CUST1995</t>
  </si>
  <si>
    <t>CUST1747</t>
  </si>
  <si>
    <t>CUST1656</t>
  </si>
  <si>
    <t>CUST1351</t>
  </si>
  <si>
    <t>CUST1648</t>
  </si>
  <si>
    <t>CUST1561</t>
  </si>
  <si>
    <t>CUST1606</t>
  </si>
  <si>
    <t>CUST1931</t>
  </si>
  <si>
    <t>CUST1927</t>
  </si>
  <si>
    <t>CUST1289</t>
  </si>
  <si>
    <t>CUST1877</t>
  </si>
  <si>
    <t>CUST1539</t>
  </si>
  <si>
    <t>CUST1305</t>
  </si>
  <si>
    <t>CUST1917</t>
  </si>
  <si>
    <t>CUST1807</t>
  </si>
  <si>
    <t>CUST1789</t>
  </si>
  <si>
    <t>CUST1295</t>
  </si>
  <si>
    <t>CUST1229</t>
  </si>
  <si>
    <t>CUST1331</t>
  </si>
  <si>
    <t>CUST1983</t>
  </si>
  <si>
    <t>CUST1057</t>
  </si>
  <si>
    <t>CUST1029</t>
  </si>
  <si>
    <t>CUST1879</t>
  </si>
  <si>
    <t>CUST1992</t>
  </si>
  <si>
    <t>CUST1762</t>
  </si>
  <si>
    <t>CUST1655</t>
  </si>
  <si>
    <t>CUST1330</t>
  </si>
  <si>
    <t>CUST1113</t>
  </si>
  <si>
    <t>CUST1132</t>
  </si>
  <si>
    <t>CUST1755</t>
  </si>
  <si>
    <t>CUST1308</t>
  </si>
  <si>
    <t>CUST1034</t>
  </si>
  <si>
    <t>CUST1456</t>
  </si>
  <si>
    <t>CUST1158</t>
  </si>
  <si>
    <t>CUST1134</t>
  </si>
  <si>
    <t>CUST1706</t>
  </si>
  <si>
    <t>CUST1126</t>
  </si>
  <si>
    <t>CUST1131</t>
  </si>
  <si>
    <t>CUST1980</t>
  </si>
  <si>
    <t>CUST1079</t>
  </si>
  <si>
    <t>CUST1437</t>
  </si>
  <si>
    <t>CUST1116</t>
  </si>
  <si>
    <t>CUST1922</t>
  </si>
  <si>
    <t>CUST1708</t>
  </si>
  <si>
    <t>CUST1570</t>
  </si>
  <si>
    <t>CUST1288</t>
  </si>
  <si>
    <t>CUST1978</t>
  </si>
  <si>
    <t>CUST1129</t>
  </si>
  <si>
    <t>CUST1535</t>
  </si>
  <si>
    <t>CUST1930</t>
  </si>
  <si>
    <t>CUST1597</t>
  </si>
  <si>
    <t>CUST1677</t>
  </si>
  <si>
    <t>CUST1228</t>
  </si>
  <si>
    <t>CUST1424</t>
  </si>
  <si>
    <t>2025-08</t>
  </si>
  <si>
    <t>CUST1266</t>
  </si>
  <si>
    <t>CUST1242</t>
  </si>
  <si>
    <t>CUST1260</t>
  </si>
  <si>
    <t>CUST1985</t>
  </si>
  <si>
    <t>CUST1966</t>
  </si>
  <si>
    <t>CUST1786</t>
  </si>
  <si>
    <t>CUST1981</t>
  </si>
  <si>
    <t>CUST1270</t>
  </si>
  <si>
    <t>CUST1548</t>
  </si>
  <si>
    <t>CUST1698</t>
  </si>
  <si>
    <t>CUST1688</t>
  </si>
  <si>
    <t>CUST1915</t>
  </si>
  <si>
    <t>CUST1520</t>
  </si>
  <si>
    <t>CUST1455</t>
  </si>
  <si>
    <t>CUST1468</t>
  </si>
  <si>
    <t>CUST1531</t>
  </si>
  <si>
    <t>CUST1394</t>
  </si>
  <si>
    <t>CUST1720</t>
  </si>
  <si>
    <t>CUST1665</t>
  </si>
  <si>
    <t>CUST1967</t>
  </si>
  <si>
    <t>CUST1494</t>
  </si>
  <si>
    <t>CUST1625</t>
  </si>
  <si>
    <t>CUST1137</t>
  </si>
  <si>
    <t>CUST1193</t>
  </si>
  <si>
    <t>CUST1850</t>
  </si>
  <si>
    <t>CUST1490</t>
  </si>
  <si>
    <t>CUST1956</t>
  </si>
  <si>
    <t>CUST1896</t>
  </si>
  <si>
    <t>CUST1767</t>
  </si>
  <si>
    <t>CUST1269</t>
  </si>
  <si>
    <t>CUST1900</t>
  </si>
  <si>
    <t>CUST1601</t>
  </si>
  <si>
    <t>CUST1323</t>
  </si>
  <si>
    <t>CUST1702</t>
  </si>
  <si>
    <t>CUST1672</t>
  </si>
  <si>
    <t>CUST1953</t>
  </si>
  <si>
    <t>CUST1987</t>
  </si>
  <si>
    <t>CUST1343</t>
  </si>
  <si>
    <t>CUST1675</t>
  </si>
  <si>
    <t>CUST1825</t>
  </si>
  <si>
    <t>CUST1240</t>
  </si>
  <si>
    <t>CUST1996</t>
  </si>
  <si>
    <t>CUST1880</t>
  </si>
  <si>
    <t>CUST1245</t>
  </si>
  <si>
    <t>CUST1085</t>
  </si>
  <si>
    <t>CUST1599</t>
  </si>
  <si>
    <t>CUST1192</t>
  </si>
  <si>
    <t>CUST1040</t>
  </si>
  <si>
    <t>CUST1743</t>
  </si>
  <si>
    <t>CUST1475</t>
  </si>
  <si>
    <t>CUST1958</t>
  </si>
  <si>
    <t>CUST1341</t>
  </si>
  <si>
    <t>CUST1458</t>
  </si>
  <si>
    <t>CUST1658</t>
  </si>
  <si>
    <t>CUST1130</t>
  </si>
  <si>
    <t>CUST1099</t>
  </si>
  <si>
    <t>CUST1673</t>
  </si>
  <si>
    <t>CUST1920</t>
  </si>
  <si>
    <t>CUST1782</t>
  </si>
  <si>
    <t>CUST1616</t>
  </si>
  <si>
    <t>CUST1569</t>
  </si>
  <si>
    <t>CUST1600</t>
  </si>
  <si>
    <t>CUST1026</t>
  </si>
  <si>
    <t>CUST1984</t>
  </si>
  <si>
    <t>CUST1934</t>
  </si>
  <si>
    <t>CUST1824</t>
  </si>
  <si>
    <t>CUST1771</t>
  </si>
  <si>
    <t>CUST1244</t>
  </si>
  <si>
    <t>CUST1502</t>
  </si>
  <si>
    <t>CUST1003</t>
  </si>
  <si>
    <t>CUST1123</t>
  </si>
  <si>
    <t>CUST1986</t>
  </si>
  <si>
    <t>CUST1652</t>
  </si>
  <si>
    <t>CUST1842</t>
  </si>
  <si>
    <t>CUST1730</t>
  </si>
  <si>
    <t>CUST1316</t>
  </si>
  <si>
    <t>CUST1446</t>
  </si>
  <si>
    <t>CUST1372</t>
  </si>
  <si>
    <t>CUST1255</t>
  </si>
  <si>
    <t>CUST1156</t>
  </si>
  <si>
    <t>CUST1237</t>
  </si>
  <si>
    <t>CUST1819</t>
  </si>
  <si>
    <t>CUST1822</t>
  </si>
  <si>
    <t>CUST1108</t>
  </si>
  <si>
    <t>CUST1162</t>
  </si>
  <si>
    <t>CUST1479</t>
  </si>
  <si>
    <t>CUST1122</t>
  </si>
  <si>
    <t>2025-09</t>
  </si>
  <si>
    <t>CUST1311</t>
  </si>
  <si>
    <t>CUST1859</t>
  </si>
  <si>
    <t>CUST1641</t>
  </si>
  <si>
    <t>CUST1736</t>
  </si>
  <si>
    <t>CUST1283</t>
  </si>
  <si>
    <t>CUST1080</t>
  </si>
  <si>
    <t>CUST1312</t>
  </si>
  <si>
    <t>CUST1711</t>
  </si>
  <si>
    <t>CUST1049</t>
  </si>
  <si>
    <t>CUST1257</t>
  </si>
  <si>
    <t>CUST1416</t>
  </si>
  <si>
    <t>CUST1550</t>
  </si>
  <si>
    <t>CUST1827</t>
  </si>
  <si>
    <t>CUST1060</t>
  </si>
  <si>
    <t>CUST1191</t>
  </si>
  <si>
    <t>CUST1098</t>
  </si>
  <si>
    <t>CUST1813</t>
  </si>
  <si>
    <t>CUST1615</t>
  </si>
  <si>
    <t>CUST1788</t>
  </si>
  <si>
    <t>CUST1636</t>
  </si>
  <si>
    <t>CUST1075</t>
  </si>
  <si>
    <t>CUST1587</t>
  </si>
  <si>
    <t>CUST1941</t>
  </si>
  <si>
    <t>CUST1422</t>
  </si>
  <si>
    <t>CUST1666</t>
  </si>
  <si>
    <t>CUST1866</t>
  </si>
  <si>
    <t>CUST1008</t>
  </si>
  <si>
    <t>CUST1175</t>
  </si>
  <si>
    <t>CUST1184</t>
  </si>
  <si>
    <t>CUST1875</t>
  </si>
  <si>
    <t>CUST1932</t>
  </si>
  <si>
    <t>CUST1043</t>
  </si>
  <si>
    <t>CUST1086</t>
  </si>
  <si>
    <t>CUST1204</t>
  </si>
  <si>
    <t>CUST1223</t>
  </si>
  <si>
    <t>CUST1982</t>
  </si>
  <si>
    <t>CUST1110</t>
  </si>
  <si>
    <t>CUST1906</t>
  </si>
  <si>
    <t>CUST1541</t>
  </si>
  <si>
    <t>CUST1892</t>
  </si>
  <si>
    <t>CUST1212</t>
  </si>
  <si>
    <t>CUST1774</t>
  </si>
  <si>
    <t>CUST1430</t>
  </si>
  <si>
    <t>CUST1015</t>
  </si>
  <si>
    <t>CUST1177</t>
  </si>
  <si>
    <t>CUST1236</t>
  </si>
  <si>
    <t>CUST1395</t>
  </si>
  <si>
    <t>CUST1697</t>
  </si>
  <si>
    <t>CUST1793</t>
  </si>
  <si>
    <t>CUST1174</t>
  </si>
  <si>
    <t>CUST1727</t>
  </si>
  <si>
    <t>CUST1225</t>
  </si>
  <si>
    <t>CUST1676</t>
  </si>
  <si>
    <t>CUST1461</t>
  </si>
  <si>
    <t>CUST1681</t>
  </si>
  <si>
    <t>CUST1713</t>
  </si>
  <si>
    <t>CUST1318</t>
  </si>
  <si>
    <t>CUST1737</t>
  </si>
  <si>
    <t>CUST1760</t>
  </si>
  <si>
    <t>CUST1317</t>
  </si>
  <si>
    <t>CUST1731</t>
  </si>
  <si>
    <t>CUST1013</t>
  </si>
  <si>
    <t>CUST1377</t>
  </si>
  <si>
    <t>CUST1886</t>
  </si>
  <si>
    <t>CUST1557</t>
  </si>
  <si>
    <t>CUST1215</t>
  </si>
  <si>
    <t>CUST1631</t>
  </si>
  <si>
    <t>CUST1662</t>
  </si>
  <si>
    <t>CUST1471</t>
  </si>
  <si>
    <t>CUST1739</t>
  </si>
  <si>
    <t>CUST1805</t>
  </si>
  <si>
    <t>CUST1603</t>
  </si>
  <si>
    <t>CUST1432</t>
  </si>
  <si>
    <t>CUST1757</t>
  </si>
  <si>
    <t>CUST1062</t>
  </si>
  <si>
    <t>CUST1878</t>
  </si>
  <si>
    <t>CUST1059</t>
  </si>
  <si>
    <t>CUST1512</t>
  </si>
  <si>
    <t>CUST1378</t>
  </si>
  <si>
    <t>CUST1391</t>
  </si>
  <si>
    <t>CUST1463</t>
  </si>
  <si>
    <t>2025-10</t>
  </si>
  <si>
    <t>CUST1895</t>
  </si>
  <si>
    <t>CUST1360</t>
  </si>
  <si>
    <t>CUST1493</t>
  </si>
  <si>
    <t>CUST1042</t>
  </si>
  <si>
    <t>CUST1234</t>
  </si>
  <si>
    <t>CUST1247</t>
  </si>
  <si>
    <t>CUST1014</t>
  </si>
  <si>
    <t>CUST1051</t>
  </si>
  <si>
    <t>CUST1714</t>
  </si>
  <si>
    <t>CUST1207</t>
  </si>
  <si>
    <t>CUST1742</t>
  </si>
  <si>
    <t>CUST1657</t>
  </si>
  <si>
    <t>CUST1128</t>
  </si>
  <si>
    <t>CUST1423</t>
  </si>
  <si>
    <t>CUST1489</t>
  </si>
  <si>
    <t>CUST1320</t>
  </si>
  <si>
    <t>CUST1089</t>
  </si>
  <si>
    <t>CUST1645</t>
  </si>
  <si>
    <t>CUST1864</t>
  </si>
  <si>
    <t>CUST1370</t>
  </si>
  <si>
    <t>CUST1173</t>
  </si>
  <si>
    <t>CUST1911</t>
  </si>
  <si>
    <t>CUST1734</t>
  </si>
  <si>
    <t>CUST1002</t>
  </si>
  <si>
    <t>CUST1836</t>
  </si>
  <si>
    <t>CUST1402</t>
  </si>
  <si>
    <t>CUST1815</t>
  </si>
  <si>
    <t>CUST1112</t>
  </si>
  <si>
    <t>CUST1107</t>
  </si>
  <si>
    <t>CUST1210</t>
  </si>
  <si>
    <t>CUST1602</t>
  </si>
  <si>
    <t>CUST1050</t>
  </si>
  <si>
    <t>CUST1598</t>
  </si>
  <si>
    <t>CUST1766</t>
  </si>
  <si>
    <t>CUST1806</t>
  </si>
  <si>
    <t>CUST1690</t>
  </si>
  <si>
    <t>CUST1278</t>
  </si>
  <si>
    <t>CUST1025</t>
  </si>
  <si>
    <t>CUST1725</t>
  </si>
  <si>
    <t>CUST1613</t>
  </si>
  <si>
    <t>CUST1160</t>
  </si>
  <si>
    <t>CUST1955</t>
  </si>
  <si>
    <t>CUST1918</t>
  </si>
  <si>
    <t>CUST1016</t>
  </si>
  <si>
    <t>CUST1476</t>
  </si>
  <si>
    <t>CUST1213</t>
  </si>
  <si>
    <t>CUST1249</t>
  </si>
  <si>
    <t>CUST1990</t>
  </si>
  <si>
    <t>CUST1106</t>
  </si>
  <si>
    <t>CUST1639</t>
  </si>
  <si>
    <t>CUST1559</t>
  </si>
  <si>
    <t>CUST1261</t>
  </si>
  <si>
    <t>CUST1745</t>
  </si>
  <si>
    <t>CUST1135</t>
  </si>
  <si>
    <t>CUST1692</t>
  </si>
  <si>
    <t>CUST1071</t>
  </si>
  <si>
    <t>CUST1105</t>
  </si>
  <si>
    <t>CUST1484</t>
  </si>
  <si>
    <t>CUST1716</t>
  </si>
  <si>
    <t>CUST1860</t>
  </si>
  <si>
    <t>CUST1686</t>
  </si>
  <si>
    <t>CUST1596</t>
  </si>
  <si>
    <t>CUST1852</t>
  </si>
  <si>
    <t>CUST1591</t>
  </si>
  <si>
    <t>CUST1551</t>
  </si>
  <si>
    <t>CUST1103</t>
  </si>
  <si>
    <t>CUST1092</t>
  </si>
  <si>
    <t>CUST1654</t>
  </si>
  <si>
    <t>CUST1428</t>
  </si>
  <si>
    <t>CUST1472</t>
  </si>
  <si>
    <t>CUST1291</t>
  </si>
  <si>
    <t>CUST1336</t>
  </si>
  <si>
    <t>CUST1227</t>
  </si>
  <si>
    <t>CUST1837</t>
  </si>
  <si>
    <t>CUST1885</t>
  </si>
  <si>
    <t>CUST1166</t>
  </si>
  <si>
    <t>CUST1514</t>
  </si>
  <si>
    <t>CUST1741</t>
  </si>
  <si>
    <t>CUST1849</t>
  </si>
  <si>
    <t>CUST1867</t>
  </si>
  <si>
    <t>CUST1149</t>
  </si>
  <si>
    <t>CUST1028</t>
  </si>
  <si>
    <t>CUST1794</t>
  </si>
  <si>
    <t>CUST1605</t>
  </si>
  <si>
    <t>CUST1302</t>
  </si>
  <si>
    <t>CUST1524</t>
  </si>
  <si>
    <t>CUST1433</t>
  </si>
  <si>
    <t>CUST1482</t>
  </si>
  <si>
    <t>CUST1038</t>
  </si>
  <si>
    <t>CUST1553</t>
  </si>
  <si>
    <t>CUST1334</t>
  </si>
  <si>
    <t>CUST1545</t>
  </si>
  <si>
    <t>CUST1084</t>
  </si>
  <si>
    <t>CUST1388</t>
  </si>
  <si>
    <t>CUST1090</t>
  </si>
  <si>
    <t>CUST1101</t>
  </si>
  <si>
    <t>CUST1611</t>
  </si>
  <si>
    <t>2025-11</t>
  </si>
  <si>
    <t>CUST1582</t>
  </si>
  <si>
    <t>CUST1816</t>
  </si>
  <si>
    <t>CUST1868</t>
  </si>
  <si>
    <t>CUST1589</t>
  </si>
  <si>
    <t>CUST1019</t>
  </si>
  <si>
    <t>CUST1963</t>
  </si>
  <si>
    <t>CUST1513</t>
  </si>
  <si>
    <t>CUST1459</t>
  </si>
  <si>
    <t>CUST1590</t>
  </si>
  <si>
    <t>CUST1093</t>
  </si>
  <si>
    <t>CUST1865</t>
  </si>
  <si>
    <t>CUST1723</t>
  </si>
  <si>
    <t>CUST1775</t>
  </si>
  <si>
    <t>CUST1361</t>
  </si>
  <si>
    <t>CUST1650</t>
  </si>
  <si>
    <t>CUST1477</t>
  </si>
  <si>
    <t>CUST1780</t>
  </si>
  <si>
    <t>CUST1882</t>
  </si>
  <si>
    <t>CUST1297</t>
  </si>
  <si>
    <t>CUST1856</t>
  </si>
  <si>
    <t>CUST1560</t>
  </si>
  <si>
    <t>CUST1835</t>
  </si>
  <si>
    <t>CUST1146</t>
  </si>
  <si>
    <t>CUST1643</t>
  </si>
  <si>
    <t>CUST1151</t>
  </si>
  <si>
    <t>CUST1125</t>
  </si>
  <si>
    <t>CUST1232</t>
  </si>
  <si>
    <t>CUST1006</t>
  </si>
  <si>
    <t>CUST1037</t>
  </si>
  <si>
    <t>CUST1610</t>
  </si>
  <si>
    <t>CUST1668</t>
  </si>
  <si>
    <t>CUST1829</t>
  </si>
  <si>
    <t>CUST1427</t>
  </si>
  <si>
    <t>CUST1492</t>
  </si>
  <si>
    <t>CUST1504</t>
  </si>
  <si>
    <t>CUST1921</t>
  </si>
  <si>
    <t>CUST1558</t>
  </si>
  <si>
    <t>CUST1396</t>
  </si>
  <si>
    <t>CUST1812</t>
  </si>
  <si>
    <t>CUST1781</t>
  </si>
  <si>
    <t>CUST1517</t>
  </si>
  <si>
    <t>CUST1904</t>
  </si>
  <si>
    <t>CUST1375</t>
  </si>
  <si>
    <t>CUST1565</t>
  </si>
  <si>
    <t>CUST1035</t>
  </si>
  <si>
    <t>CUST1389</t>
  </si>
  <si>
    <t>CUST1362</t>
  </si>
  <si>
    <t>CUST1048</t>
  </si>
  <si>
    <t>CUST1358</t>
  </si>
  <si>
    <t>CUST1579</t>
  </si>
  <si>
    <t>CUST1364</t>
  </si>
  <si>
    <t>CUST1740</t>
  </si>
  <si>
    <t>CUST1095</t>
  </si>
  <si>
    <t>CUST1828</t>
  </si>
  <si>
    <t>CUST1304</t>
  </si>
  <si>
    <t>CUST1179</t>
  </si>
  <si>
    <t>CUST1592</t>
  </si>
  <si>
    <t>CUST1220</t>
  </si>
  <si>
    <t>CUST1067</t>
  </si>
  <si>
    <t>CUST1345</t>
  </si>
  <si>
    <t>CUST1202</t>
  </si>
  <si>
    <t>CUST1843</t>
  </si>
  <si>
    <t>CUST1840</t>
  </si>
  <si>
    <t>CUST1943</t>
  </si>
  <si>
    <t>CUST1529</t>
  </si>
  <si>
    <t>2025-12</t>
  </si>
  <si>
    <t>CUST1642</t>
  </si>
  <si>
    <t>CUST1324</t>
  </si>
  <si>
    <t>CUST1153</t>
  </si>
  <si>
    <t>CUST1669</t>
  </si>
  <si>
    <t>CUST1969</t>
  </si>
  <si>
    <t>CUST1804</t>
  </si>
  <si>
    <t>CUST1715</t>
  </si>
  <si>
    <t>CUST1530</t>
  </si>
  <si>
    <t>CUST1733</t>
  </si>
  <si>
    <t>CUST1061</t>
  </si>
  <si>
    <t>CUST1452</t>
  </si>
  <si>
    <t>CUST1527</t>
  </si>
  <si>
    <t>CUST1577</t>
  </si>
  <si>
    <t>CUST1586</t>
  </si>
  <si>
    <t>CUST1264</t>
  </si>
  <si>
    <t>CUST1862</t>
  </si>
  <si>
    <t>CUST1438</t>
  </si>
  <si>
    <t>CUST1421</t>
  </si>
  <si>
    <t>CUST1499</t>
  </si>
  <si>
    <t>CUST1024</t>
  </si>
  <si>
    <t>CUST1693</t>
  </si>
  <si>
    <t>CUST1722</t>
  </si>
  <si>
    <t>CUST1491</t>
  </si>
  <si>
    <t>CUST1470</t>
  </si>
  <si>
    <t>CUST1680</t>
  </si>
  <si>
    <t>CUST1764</t>
  </si>
  <si>
    <t>CUST1348</t>
  </si>
  <si>
    <t>CUST1409</t>
  </si>
  <si>
    <t>CUST1382</t>
  </si>
  <si>
    <t>CUST1754</t>
  </si>
  <si>
    <t>CUST1319</t>
  </si>
  <si>
    <t>CUST1181</t>
  </si>
  <si>
    <t>CUST1286</t>
  </si>
  <si>
    <t>CUST1936</t>
  </si>
  <si>
    <t>CUST1081</t>
  </si>
  <si>
    <t>CUST1694</t>
  </si>
  <si>
    <t>CUST1949</t>
  </si>
  <si>
    <t>CUST1383</t>
  </si>
  <si>
    <t>CUST1926</t>
  </si>
  <si>
    <t>CUST1965</t>
  </si>
  <si>
    <t>CUST1640</t>
  </si>
  <si>
    <t>CUST1571</t>
  </si>
  <si>
    <t>CUST1763</t>
  </si>
  <si>
    <t>CUST1340</t>
  </si>
  <si>
    <t>CUST1671</t>
  </si>
  <si>
    <t>CUST1776</t>
  </si>
  <si>
    <t>CUST1448</t>
  </si>
  <si>
    <t>CUST1293</t>
  </si>
  <si>
    <t>CUST1274</t>
  </si>
  <si>
    <t>CUST1684</t>
  </si>
  <si>
    <t>CUST1649</t>
  </si>
  <si>
    <t>CUST1195</t>
  </si>
  <si>
    <t>CUST1451</t>
  </si>
  <si>
    <t>CUST1751</t>
  </si>
  <si>
    <t>CUST1515</t>
  </si>
  <si>
    <t>CUST1683</t>
  </si>
  <si>
    <t>CUST1999</t>
  </si>
  <si>
    <t>CUST1853</t>
  </si>
  <si>
    <t>CUST1503</t>
  </si>
  <si>
    <t>CUST1200</t>
  </si>
  <si>
    <t>CUST1337</t>
  </si>
  <si>
    <t>CUST1609</t>
  </si>
  <si>
    <t>CUST1466</t>
  </si>
  <si>
    <t>CUST1355</t>
  </si>
  <si>
    <t>CUST1797</t>
  </si>
  <si>
    <t>CUST1208</t>
  </si>
  <si>
    <t>CUST1064</t>
  </si>
  <si>
    <t>CUST1417</t>
  </si>
  <si>
    <t>CUST1861</t>
  </si>
  <si>
    <t>CUST1404</t>
  </si>
  <si>
    <t>CUST1046</t>
  </si>
  <si>
    <t>CUST1959</t>
  </si>
  <si>
    <t>CUST1325</t>
  </si>
  <si>
    <t>CUST1441</t>
  </si>
  <si>
    <t>CUST1947</t>
  </si>
  <si>
    <t>CUST1012</t>
  </si>
  <si>
    <t>CUST1851</t>
  </si>
  <si>
    <t>CUST1914</t>
  </si>
  <si>
    <t>CUST1894</t>
  </si>
  <si>
    <t>CUST1594</t>
  </si>
  <si>
    <t>CUST1141</t>
  </si>
  <si>
    <t>CUST1555</t>
  </si>
  <si>
    <t>CUST1772</t>
  </si>
  <si>
    <t>CUST1347</t>
  </si>
  <si>
    <t>CUST1265</t>
  </si>
  <si>
    <t>CUST1145</t>
  </si>
  <si>
    <t>CUST1356</t>
  </si>
  <si>
    <t>CUST1161</t>
  </si>
  <si>
    <t>CUST1810</t>
  </si>
  <si>
    <t>CUST1511</t>
  </si>
  <si>
    <t>CUST1691</t>
  </si>
  <si>
    <t>CUST1820</t>
  </si>
  <si>
    <t>CUST1401</t>
  </si>
  <si>
    <t>KPI</t>
  </si>
  <si>
    <t>Calculation</t>
  </si>
  <si>
    <t>Total Customers</t>
  </si>
  <si>
    <t>10.61 months</t>
  </si>
  <si>
    <t>Churned Customers</t>
  </si>
  <si>
    <t>Active Customers</t>
  </si>
  <si>
    <t>Churn Rate</t>
  </si>
  <si>
    <t>Rentention Rate</t>
  </si>
  <si>
    <t>Average Tenure</t>
  </si>
  <si>
    <t>Average Monthly Charges</t>
  </si>
  <si>
    <t>Average Customer Lifetime Value</t>
  </si>
  <si>
    <t>Row Labels</t>
  </si>
  <si>
    <t>Grand Total</t>
  </si>
  <si>
    <t>Count of Customer ID</t>
  </si>
  <si>
    <t>Column Labels</t>
  </si>
  <si>
    <t>Sum of Customer Lifetime Value</t>
  </si>
  <si>
    <t xml:space="preserve">Totel customer's </t>
  </si>
  <si>
    <t>Retention Rate</t>
  </si>
  <si>
    <t>Avg Tenure</t>
  </si>
  <si>
    <t>Avg CLV</t>
  </si>
  <si>
    <t xml:space="preserve">   Customer Retention &amp; Churn Analysis</t>
  </si>
  <si>
    <t>KEY INSIGHTS</t>
  </si>
  <si>
    <t>KEY INSIGHTS AND RECOMMENDATIONS</t>
  </si>
  <si>
    <t>1. Overall customer churn rate is 23.4%</t>
  </si>
  <si>
    <t>2. Price too high is the most common recorded churn reason</t>
  </si>
  <si>
    <t>3. Individual customers show higher observed churn than Enterprice and small business customers</t>
  </si>
  <si>
    <t>4. Churn varies across regions and subscription plans</t>
  </si>
  <si>
    <t>5. Customer churn differs across signup cohorts</t>
  </si>
  <si>
    <t>RECOMMENDATIONS</t>
  </si>
  <si>
    <t>1. Review pricing and plan value</t>
  </si>
  <si>
    <t>2. Improve service quality</t>
  </si>
  <si>
    <t>3. Focus on high-churn customer segments</t>
  </si>
  <si>
    <t>4. Strengthen technical support</t>
  </si>
  <si>
    <t xml:space="preserve">                          KPI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</si>
</sst>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0" fillId="0" borderId="0" xfId="0" applyNumberFormat="1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0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49">
    <dxf>
      <numFmt numFmtId="164" formatCode="yyyy\-mm\-dd\ hh:mm:ss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19" formatCode="dd/mm/yyyy"/>
    </dxf>
    <dxf>
      <numFmt numFmtId="2" formatCode="0.00"/>
    </dxf>
    <dxf>
      <numFmt numFmtId="2" formatCode="0.00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[FUTURE_DS_02_Task2_Customer_Churn_Data.xlsx]Churn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Customer</a:t>
            </a:r>
            <a:r>
              <a:rPr lang="en-IN" baseline="0">
                <a:solidFill>
                  <a:schemeClr val="tx1"/>
                </a:solidFill>
              </a:rPr>
              <a:t> Churn vs Retention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12-4B3E-855C-9754DA9DD6AC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12-4B3E-855C-9754DA9DD6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Analysis'!$A$2:$A$4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'Churn Analysis'!$B$2:$B$4</c:f>
              <c:numCache>
                <c:formatCode>General</c:formatCode>
                <c:ptCount val="2"/>
                <c:pt idx="0">
                  <c:v>766</c:v>
                </c:pt>
                <c:pt idx="1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D-4F24-BA2A-18704026619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54937792400356"/>
          <c:y val="0.83793407725874747"/>
          <c:w val="0.30387026152247398"/>
          <c:h val="0.137526045440638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[FUTURE_DS_02_Task2_Customer_Churn_Data.xlsx]Churn 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by Subscription Plan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Analysis'!$J$1:$J$2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Analysis'!$I$3:$I$6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Analysis'!$J$3:$J$6</c:f>
              <c:numCache>
                <c:formatCode>General</c:formatCode>
                <c:ptCount val="3"/>
                <c:pt idx="0">
                  <c:v>266</c:v>
                </c:pt>
                <c:pt idx="1">
                  <c:v>172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1-453F-A9CB-0705D4ABAAA3}"/>
            </c:ext>
          </c:extLst>
        </c:ser>
        <c:ser>
          <c:idx val="1"/>
          <c:order val="1"/>
          <c:tx>
            <c:strRef>
              <c:f>'Churn Analysis'!$K$1:$K$2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Analysis'!$I$3:$I$6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Analysis'!$K$3:$K$6</c:f>
              <c:numCache>
                <c:formatCode>General</c:formatCode>
                <c:ptCount val="3"/>
                <c:pt idx="0">
                  <c:v>86</c:v>
                </c:pt>
                <c:pt idx="1">
                  <c:v>42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31-453F-A9CB-0705D4ABA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600112"/>
        <c:axId val="159345616"/>
      </c:barChart>
      <c:catAx>
        <c:axId val="43360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45616"/>
        <c:crosses val="autoZero"/>
        <c:auto val="1"/>
        <c:lblAlgn val="ctr"/>
        <c:lblOffset val="100"/>
        <c:noMultiLvlLbl val="0"/>
      </c:catAx>
      <c:valAx>
        <c:axId val="1593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0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[FUTURE_DS_02_Task2_Customer_Churn_Data.xlsx]Churn Analysis!PivotTable3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Analysis'!$B$25:$B$26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Analysis'!$A$27:$A$31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'Churn Analysis'!$B$27:$B$31</c:f>
              <c:numCache>
                <c:formatCode>General</c:formatCode>
                <c:ptCount val="4"/>
                <c:pt idx="0">
                  <c:v>119</c:v>
                </c:pt>
                <c:pt idx="1">
                  <c:v>199</c:v>
                </c:pt>
                <c:pt idx="2">
                  <c:v>293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F-492E-85B9-E3EB66BB76BB}"/>
            </c:ext>
          </c:extLst>
        </c:ser>
        <c:ser>
          <c:idx val="1"/>
          <c:order val="1"/>
          <c:tx>
            <c:strRef>
              <c:f>'Churn Analysis'!$C$25:$C$26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Analysis'!$A$27:$A$31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'Churn Analysis'!$C$27:$C$31</c:f>
              <c:numCache>
                <c:formatCode>General</c:formatCode>
                <c:ptCount val="4"/>
                <c:pt idx="0">
                  <c:v>32</c:v>
                </c:pt>
                <c:pt idx="1">
                  <c:v>70</c:v>
                </c:pt>
                <c:pt idx="2">
                  <c:v>94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F-492E-85B9-E3EB66BB7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155344"/>
        <c:axId val="456780272"/>
      </c:barChart>
      <c:catAx>
        <c:axId val="45315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80272"/>
        <c:crosses val="autoZero"/>
        <c:auto val="1"/>
        <c:lblAlgn val="ctr"/>
        <c:lblOffset val="100"/>
        <c:noMultiLvlLbl val="0"/>
      </c:catAx>
      <c:valAx>
        <c:axId val="45678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5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[FUTURE_DS_02_Task2_Customer_Churn_Data.xlsx]Churn Analysis!PivotTable4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by Customer Segment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Analysis'!$J$27:$J$28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Analysis'!$I$29:$I$32</c:f>
              <c:strCache>
                <c:ptCount val="3"/>
                <c:pt idx="0">
                  <c:v>Enterprise</c:v>
                </c:pt>
                <c:pt idx="1">
                  <c:v>Individual</c:v>
                </c:pt>
                <c:pt idx="2">
                  <c:v>Small Business</c:v>
                </c:pt>
              </c:strCache>
            </c:strRef>
          </c:cat>
          <c:val>
            <c:numRef>
              <c:f>'Churn Analysis'!$J$29:$J$32</c:f>
              <c:numCache>
                <c:formatCode>General</c:formatCode>
                <c:ptCount val="3"/>
                <c:pt idx="0">
                  <c:v>79</c:v>
                </c:pt>
                <c:pt idx="1">
                  <c:v>469</c:v>
                </c:pt>
                <c:pt idx="2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A5-4B38-A233-959FB33F9DAC}"/>
            </c:ext>
          </c:extLst>
        </c:ser>
        <c:ser>
          <c:idx val="1"/>
          <c:order val="1"/>
          <c:tx>
            <c:strRef>
              <c:f>'Churn Analysis'!$K$27:$K$28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Analysis'!$I$29:$I$32</c:f>
              <c:strCache>
                <c:ptCount val="3"/>
                <c:pt idx="0">
                  <c:v>Enterprise</c:v>
                </c:pt>
                <c:pt idx="1">
                  <c:v>Individual</c:v>
                </c:pt>
                <c:pt idx="2">
                  <c:v>Small Business</c:v>
                </c:pt>
              </c:strCache>
            </c:strRef>
          </c:cat>
          <c:val>
            <c:numRef>
              <c:f>'Churn Analysis'!$K$29:$K$32</c:f>
              <c:numCache>
                <c:formatCode>General</c:formatCode>
                <c:ptCount val="3"/>
                <c:pt idx="0">
                  <c:v>18</c:v>
                </c:pt>
                <c:pt idx="1">
                  <c:v>167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A5-4B38-A233-959FB33F9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038656"/>
        <c:axId val="456799472"/>
      </c:barChart>
      <c:catAx>
        <c:axId val="4660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99472"/>
        <c:crosses val="autoZero"/>
        <c:auto val="1"/>
        <c:lblAlgn val="ctr"/>
        <c:lblOffset val="100"/>
        <c:noMultiLvlLbl val="0"/>
      </c:catAx>
      <c:valAx>
        <c:axId val="45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3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[FUTURE_DS_02_Task2_Customer_Churn_Data.xlsx]Churn Analysis!PivotTable5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Rate by Age Group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Analysis'!$B$50:$B$51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Analysis'!$A$52:$A$57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'Churn Analysis'!$B$52:$B$57</c:f>
              <c:numCache>
                <c:formatCode>General</c:formatCode>
                <c:ptCount val="5"/>
                <c:pt idx="0">
                  <c:v>129</c:v>
                </c:pt>
                <c:pt idx="1">
                  <c:v>226</c:v>
                </c:pt>
                <c:pt idx="2">
                  <c:v>200</c:v>
                </c:pt>
                <c:pt idx="3">
                  <c:v>122</c:v>
                </c:pt>
                <c:pt idx="4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7-48C8-BDA1-2EF13959B847}"/>
            </c:ext>
          </c:extLst>
        </c:ser>
        <c:ser>
          <c:idx val="1"/>
          <c:order val="1"/>
          <c:tx>
            <c:strRef>
              <c:f>'Churn Analysis'!$C$50:$C$51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Analysis'!$A$52:$A$57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56+</c:v>
                </c:pt>
              </c:strCache>
            </c:strRef>
          </c:cat>
          <c:val>
            <c:numRef>
              <c:f>'Churn Analysis'!$C$52:$C$57</c:f>
              <c:numCache>
                <c:formatCode>General</c:formatCode>
                <c:ptCount val="5"/>
                <c:pt idx="0">
                  <c:v>43</c:v>
                </c:pt>
                <c:pt idx="1">
                  <c:v>72</c:v>
                </c:pt>
                <c:pt idx="2">
                  <c:v>60</c:v>
                </c:pt>
                <c:pt idx="3">
                  <c:v>40</c:v>
                </c:pt>
                <c:pt idx="4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37-48C8-BDA1-2EF13959B8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66020560"/>
        <c:axId val="456799952"/>
      </c:barChart>
      <c:catAx>
        <c:axId val="466020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99952"/>
        <c:crosses val="autoZero"/>
        <c:auto val="1"/>
        <c:lblAlgn val="ctr"/>
        <c:lblOffset val="100"/>
        <c:noMultiLvlLbl val="0"/>
      </c:catAx>
      <c:valAx>
        <c:axId val="45679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20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[FUTURE_DS_02_Task2_Customer_Churn_Data.xlsx]Churn Analysis!PivotTable6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Top</a:t>
            </a:r>
            <a:r>
              <a:rPr lang="en-IN" baseline="0">
                <a:solidFill>
                  <a:schemeClr val="tx1"/>
                </a:solidFill>
              </a:rPr>
              <a:t> Reasons for Customer churn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Analysis'!$I$51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Analysis'!$H$52:$H$57</c:f>
              <c:strCache>
                <c:ptCount val="5"/>
                <c:pt idx="0">
                  <c:v>Not using service</c:v>
                </c:pt>
                <c:pt idx="1">
                  <c:v>Poor service</c:v>
                </c:pt>
                <c:pt idx="2">
                  <c:v>Price too high</c:v>
                </c:pt>
                <c:pt idx="3">
                  <c:v>Switched competitor</c:v>
                </c:pt>
                <c:pt idx="4">
                  <c:v>Technical issues</c:v>
                </c:pt>
              </c:strCache>
            </c:strRef>
          </c:cat>
          <c:val>
            <c:numRef>
              <c:f>'Churn Analysis'!$I$52:$I$57</c:f>
              <c:numCache>
                <c:formatCode>General</c:formatCode>
                <c:ptCount val="5"/>
                <c:pt idx="0">
                  <c:v>42</c:v>
                </c:pt>
                <c:pt idx="1">
                  <c:v>51</c:v>
                </c:pt>
                <c:pt idx="2">
                  <c:v>64</c:v>
                </c:pt>
                <c:pt idx="3">
                  <c:v>48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4-4F47-AF81-7944A6F25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6326080"/>
        <c:axId val="456829712"/>
      </c:barChart>
      <c:catAx>
        <c:axId val="52632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829712"/>
        <c:crosses val="autoZero"/>
        <c:auto val="1"/>
        <c:lblAlgn val="ctr"/>
        <c:lblOffset val="100"/>
        <c:noMultiLvlLbl val="0"/>
      </c:catAx>
      <c:valAx>
        <c:axId val="4568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[FUTURE_DS_02_Task2_Customer_Churn_Data.xlsx]Churn Analysis!PivotTable7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Rate by Customer Cohort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Analysis'!$B$78:$B$79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Analysis'!$A$80:$A$92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'Churn Analysis'!$B$80:$B$92</c:f>
              <c:numCache>
                <c:formatCode>General</c:formatCode>
                <c:ptCount val="12"/>
                <c:pt idx="0">
                  <c:v>48</c:v>
                </c:pt>
                <c:pt idx="1">
                  <c:v>88</c:v>
                </c:pt>
                <c:pt idx="2">
                  <c:v>52</c:v>
                </c:pt>
                <c:pt idx="3">
                  <c:v>63</c:v>
                </c:pt>
                <c:pt idx="4">
                  <c:v>51</c:v>
                </c:pt>
                <c:pt idx="5">
                  <c:v>68</c:v>
                </c:pt>
                <c:pt idx="6">
                  <c:v>71</c:v>
                </c:pt>
                <c:pt idx="7">
                  <c:v>64</c:v>
                </c:pt>
                <c:pt idx="8">
                  <c:v>62</c:v>
                </c:pt>
                <c:pt idx="9">
                  <c:v>78</c:v>
                </c:pt>
                <c:pt idx="10">
                  <c:v>46</c:v>
                </c:pt>
                <c:pt idx="11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22-4886-89C7-71E584A0450D}"/>
            </c:ext>
          </c:extLst>
        </c:ser>
        <c:ser>
          <c:idx val="1"/>
          <c:order val="1"/>
          <c:tx>
            <c:strRef>
              <c:f>'Churn Analysis'!$C$78:$C$79</c:f>
              <c:strCache>
                <c:ptCount val="1"/>
                <c:pt idx="0">
                  <c:v>Churned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Analysis'!$A$80:$A$92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'Churn Analysis'!$C$80:$C$92</c:f>
              <c:numCache>
                <c:formatCode>General</c:formatCode>
                <c:ptCount val="12"/>
                <c:pt idx="0">
                  <c:v>23</c:v>
                </c:pt>
                <c:pt idx="1">
                  <c:v>17</c:v>
                </c:pt>
                <c:pt idx="2">
                  <c:v>21</c:v>
                </c:pt>
                <c:pt idx="3">
                  <c:v>19</c:v>
                </c:pt>
                <c:pt idx="4">
                  <c:v>8</c:v>
                </c:pt>
                <c:pt idx="5">
                  <c:v>29</c:v>
                </c:pt>
                <c:pt idx="6">
                  <c:v>18</c:v>
                </c:pt>
                <c:pt idx="7">
                  <c:v>23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22-4886-89C7-71E584A04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6323296"/>
        <c:axId val="456793232"/>
      </c:lineChart>
      <c:catAx>
        <c:axId val="52632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93232"/>
        <c:crosses val="autoZero"/>
        <c:auto val="1"/>
        <c:lblAlgn val="ctr"/>
        <c:lblOffset val="100"/>
        <c:noMultiLvlLbl val="0"/>
      </c:catAx>
      <c:valAx>
        <c:axId val="45679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[FUTURE_DS_02_Task2_Customer_Churn_Data.xlsx]Churn Analysis!PivotTable8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Customer</a:t>
            </a:r>
            <a:r>
              <a:rPr lang="en-IN" baseline="0">
                <a:solidFill>
                  <a:schemeClr val="tx1"/>
                </a:solidFill>
              </a:rPr>
              <a:t> Churn by Tenure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Analysis'!$H$77:$H$78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Analysis'!$G$79:$G$97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'Churn Analysis'!$H$79:$H$97</c:f>
              <c:numCache>
                <c:formatCode>General</c:formatCode>
                <c:ptCount val="18"/>
                <c:pt idx="5">
                  <c:v>38</c:v>
                </c:pt>
                <c:pt idx="6">
                  <c:v>61</c:v>
                </c:pt>
                <c:pt idx="7">
                  <c:v>60</c:v>
                </c:pt>
                <c:pt idx="8">
                  <c:v>75</c:v>
                </c:pt>
                <c:pt idx="9">
                  <c:v>63</c:v>
                </c:pt>
                <c:pt idx="10">
                  <c:v>65</c:v>
                </c:pt>
                <c:pt idx="11">
                  <c:v>67</c:v>
                </c:pt>
                <c:pt idx="12">
                  <c:v>63</c:v>
                </c:pt>
                <c:pt idx="13">
                  <c:v>62</c:v>
                </c:pt>
                <c:pt idx="14">
                  <c:v>47</c:v>
                </c:pt>
                <c:pt idx="15">
                  <c:v>78</c:v>
                </c:pt>
                <c:pt idx="16">
                  <c:v>66</c:v>
                </c:pt>
                <c:pt idx="1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E3-40F3-9870-37284D0130E1}"/>
            </c:ext>
          </c:extLst>
        </c:ser>
        <c:ser>
          <c:idx val="1"/>
          <c:order val="1"/>
          <c:tx>
            <c:strRef>
              <c:f>'Churn Analysis'!$I$77:$I$78</c:f>
              <c:strCache>
                <c:ptCount val="1"/>
                <c:pt idx="0">
                  <c:v>Churned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Analysis'!$G$79:$G$97</c:f>
              <c:strCach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strCache>
            </c:strRef>
          </c:cat>
          <c:val>
            <c:numRef>
              <c:f>'Churn Analysis'!$I$79:$I$97</c:f>
              <c:numCache>
                <c:formatCode>General</c:formatCode>
                <c:ptCount val="18"/>
                <c:pt idx="0">
                  <c:v>18</c:v>
                </c:pt>
                <c:pt idx="1">
                  <c:v>16</c:v>
                </c:pt>
                <c:pt idx="2">
                  <c:v>25</c:v>
                </c:pt>
                <c:pt idx="3">
                  <c:v>21</c:v>
                </c:pt>
                <c:pt idx="4">
                  <c:v>30</c:v>
                </c:pt>
                <c:pt idx="5">
                  <c:v>21</c:v>
                </c:pt>
                <c:pt idx="6">
                  <c:v>25</c:v>
                </c:pt>
                <c:pt idx="7">
                  <c:v>14</c:v>
                </c:pt>
                <c:pt idx="8">
                  <c:v>11</c:v>
                </c:pt>
                <c:pt idx="9">
                  <c:v>16</c:v>
                </c:pt>
                <c:pt idx="10">
                  <c:v>10</c:v>
                </c:pt>
                <c:pt idx="11">
                  <c:v>10</c:v>
                </c:pt>
                <c:pt idx="12">
                  <c:v>1</c:v>
                </c:pt>
                <c:pt idx="13">
                  <c:v>8</c:v>
                </c:pt>
                <c:pt idx="14">
                  <c:v>4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E3-40F3-9870-37284D013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995504"/>
        <c:axId val="456784112"/>
      </c:lineChart>
      <c:catAx>
        <c:axId val="4659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84112"/>
        <c:crosses val="autoZero"/>
        <c:auto val="1"/>
        <c:lblAlgn val="ctr"/>
        <c:lblOffset val="100"/>
        <c:noMultiLvlLbl val="0"/>
      </c:catAx>
      <c:valAx>
        <c:axId val="45678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9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[FUTURE_DS_02_Task2_Customer_Churn_Data.xlsx]Churn Analysis!PivotTable9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Average Customer Lifetime Value by Churn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0.14904177602799654"/>
              <c:y val="-3.24074074074074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>
            <c:manualLayout>
              <c:x val="-1.0152887139107612E-2"/>
              <c:y val="-9.2592592592591737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Analysis'!$B$117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F09-4316-BDE9-F3E405502437}"/>
              </c:ext>
            </c:extLst>
          </c:dPt>
          <c:dPt>
            <c:idx val="1"/>
            <c:marker>
              <c:symbol val="circle"/>
              <c:size val="4"/>
              <c:spPr>
                <a:solidFill>
                  <a:schemeClr val="accent1"/>
                </a:solidFill>
                <a:ln w="9525" cap="flat" cmpd="sng" algn="ctr">
                  <a:solidFill>
                    <a:schemeClr val="accen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F09-4316-BDE9-F3E405502437}"/>
              </c:ext>
            </c:extLst>
          </c:dPt>
          <c:dLbls>
            <c:dLbl>
              <c:idx val="0"/>
              <c:layout>
                <c:manualLayout>
                  <c:x val="-0.14904177602799654"/>
                  <c:y val="-3.240740740740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F09-4316-BDE9-F3E405502437}"/>
                </c:ext>
              </c:extLst>
            </c:dLbl>
            <c:dLbl>
              <c:idx val="1"/>
              <c:layout>
                <c:manualLayout>
                  <c:x val="-1.0152887139107612E-2"/>
                  <c:y val="-9.259259259259173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F09-4316-BDE9-F3E4055024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'Churn Analysis'!$A$118:$A$120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'Churn Analysis'!$B$118:$B$120</c:f>
              <c:numCache>
                <c:formatCode>General</c:formatCode>
                <c:ptCount val="2"/>
                <c:pt idx="0">
                  <c:v>8147890.109999991</c:v>
                </c:pt>
                <c:pt idx="1">
                  <c:v>1288741.68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9-4316-BDE9-F3E40550243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526299632"/>
        <c:axId val="456839792"/>
      </c:lineChart>
      <c:catAx>
        <c:axId val="52629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839792"/>
        <c:crosses val="autoZero"/>
        <c:auto val="1"/>
        <c:lblAlgn val="ctr"/>
        <c:lblOffset val="100"/>
        <c:noMultiLvlLbl val="0"/>
      </c:catAx>
      <c:valAx>
        <c:axId val="456839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29963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[FUTURE_DS_02_Task2_Customer_Churn_Data.xlsx]Churn Analysis!PivotTable10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rate by Acquisition Channel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'Churn Analysis'!$H$117:$H$118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'Churn Analysis'!$G$119:$G$123</c:f>
              <c:strCache>
                <c:ptCount val="4"/>
                <c:pt idx="0">
                  <c:v>Online</c:v>
                </c:pt>
                <c:pt idx="1">
                  <c:v>Partner</c:v>
                </c:pt>
                <c:pt idx="2">
                  <c:v>Referral</c:v>
                </c:pt>
                <c:pt idx="3">
                  <c:v>Social Media</c:v>
                </c:pt>
              </c:strCache>
            </c:strRef>
          </c:cat>
          <c:val>
            <c:numRef>
              <c:f>'Churn Analysis'!$H$119:$H$123</c:f>
              <c:numCache>
                <c:formatCode>General</c:formatCode>
                <c:ptCount val="4"/>
                <c:pt idx="0">
                  <c:v>348</c:v>
                </c:pt>
                <c:pt idx="1">
                  <c:v>93</c:v>
                </c:pt>
                <c:pt idx="2">
                  <c:v>185</c:v>
                </c:pt>
                <c:pt idx="3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E8-4A02-9C7D-454CAEBB1B84}"/>
            </c:ext>
          </c:extLst>
        </c:ser>
        <c:ser>
          <c:idx val="1"/>
          <c:order val="1"/>
          <c:tx>
            <c:strRef>
              <c:f>'Churn Analysis'!$I$117:$I$118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'Churn Analysis'!$G$119:$G$123</c:f>
              <c:strCache>
                <c:ptCount val="4"/>
                <c:pt idx="0">
                  <c:v>Online</c:v>
                </c:pt>
                <c:pt idx="1">
                  <c:v>Partner</c:v>
                </c:pt>
                <c:pt idx="2">
                  <c:v>Referral</c:v>
                </c:pt>
                <c:pt idx="3">
                  <c:v>Social Media</c:v>
                </c:pt>
              </c:strCache>
            </c:strRef>
          </c:cat>
          <c:val>
            <c:numRef>
              <c:f>'Churn Analysis'!$I$119:$I$123</c:f>
              <c:numCache>
                <c:formatCode>General</c:formatCode>
                <c:ptCount val="4"/>
                <c:pt idx="0">
                  <c:v>110</c:v>
                </c:pt>
                <c:pt idx="1">
                  <c:v>32</c:v>
                </c:pt>
                <c:pt idx="2">
                  <c:v>52</c:v>
                </c:pt>
                <c:pt idx="3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E8-4A02-9C7D-454CAEBB1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64670240"/>
        <c:axId val="456918128"/>
        <c:axId val="0"/>
      </c:bar3DChart>
      <c:catAx>
        <c:axId val="56467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18128"/>
        <c:crosses val="autoZero"/>
        <c:auto val="1"/>
        <c:lblAlgn val="ctr"/>
        <c:lblOffset val="100"/>
        <c:noMultiLvlLbl val="0"/>
      </c:catAx>
      <c:valAx>
        <c:axId val="45691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7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[FUTURE_DS_02_Task2_Customer_Churn_Data.xlsx]Churn Analysis!PivotTable1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Customer</a:t>
            </a:r>
            <a:r>
              <a:rPr lang="en-IN" baseline="0">
                <a:solidFill>
                  <a:schemeClr val="tx1"/>
                </a:solidFill>
              </a:rPr>
              <a:t> Churn vs Retention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5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9F-4353-A885-43137015EAE0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9F-4353-A885-43137015EAE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Analysis'!$A$2:$A$4</c:f>
              <c:strCache>
                <c:ptCount val="2"/>
                <c:pt idx="0">
                  <c:v>Active</c:v>
                </c:pt>
                <c:pt idx="1">
                  <c:v>Churned</c:v>
                </c:pt>
              </c:strCache>
            </c:strRef>
          </c:cat>
          <c:val>
            <c:numRef>
              <c:f>'Churn Analysis'!$B$2:$B$4</c:f>
              <c:numCache>
                <c:formatCode>General</c:formatCode>
                <c:ptCount val="2"/>
                <c:pt idx="0">
                  <c:v>766</c:v>
                </c:pt>
                <c:pt idx="1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89F-4353-A885-43137015EA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154937792400356"/>
          <c:y val="0.83793407725874747"/>
          <c:w val="0.30387026152247398"/>
          <c:h val="0.137526045440638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[FUTURE_DS_02_Task2_Customer_Churn_Data.xlsx]Churn Analysis!PivotTable2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by Subscription Plan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Analysis'!$J$1:$J$2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Analysis'!$I$3:$I$6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Analysis'!$J$3:$J$6</c:f>
              <c:numCache>
                <c:formatCode>General</c:formatCode>
                <c:ptCount val="3"/>
                <c:pt idx="0">
                  <c:v>266</c:v>
                </c:pt>
                <c:pt idx="1">
                  <c:v>172</c:v>
                </c:pt>
                <c:pt idx="2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04-4B95-AF27-3AC1095F9328}"/>
            </c:ext>
          </c:extLst>
        </c:ser>
        <c:ser>
          <c:idx val="1"/>
          <c:order val="1"/>
          <c:tx>
            <c:strRef>
              <c:f>'Churn Analysis'!$K$1:$K$2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Analysis'!$I$3:$I$6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'Churn Analysis'!$K$3:$K$6</c:f>
              <c:numCache>
                <c:formatCode>General</c:formatCode>
                <c:ptCount val="3"/>
                <c:pt idx="0">
                  <c:v>86</c:v>
                </c:pt>
                <c:pt idx="1">
                  <c:v>42</c:v>
                </c:pt>
                <c:pt idx="2">
                  <c:v>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04-4B95-AF27-3AC1095F9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3600112"/>
        <c:axId val="159345616"/>
      </c:barChart>
      <c:catAx>
        <c:axId val="43360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345616"/>
        <c:crosses val="autoZero"/>
        <c:auto val="1"/>
        <c:lblAlgn val="ctr"/>
        <c:lblOffset val="100"/>
        <c:noMultiLvlLbl val="0"/>
      </c:catAx>
      <c:valAx>
        <c:axId val="15934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60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[FUTURE_DS_02_Task2_Customer_Churn_Data.xlsx]Churn Analysis!PivotTable3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by Region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Analysis'!$B$25:$B$26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Analysis'!$A$27:$A$31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'Churn Analysis'!$B$27:$B$31</c:f>
              <c:numCache>
                <c:formatCode>General</c:formatCode>
                <c:ptCount val="4"/>
                <c:pt idx="0">
                  <c:v>119</c:v>
                </c:pt>
                <c:pt idx="1">
                  <c:v>199</c:v>
                </c:pt>
                <c:pt idx="2">
                  <c:v>293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E-43AC-BBDE-D03F6E1D6AFA}"/>
            </c:ext>
          </c:extLst>
        </c:ser>
        <c:ser>
          <c:idx val="1"/>
          <c:order val="1"/>
          <c:tx>
            <c:strRef>
              <c:f>'Churn Analysis'!$C$25:$C$26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Analysis'!$A$27:$A$31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'Churn Analysis'!$C$27:$C$31</c:f>
              <c:numCache>
                <c:formatCode>General</c:formatCode>
                <c:ptCount val="4"/>
                <c:pt idx="0">
                  <c:v>32</c:v>
                </c:pt>
                <c:pt idx="1">
                  <c:v>70</c:v>
                </c:pt>
                <c:pt idx="2">
                  <c:v>94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E-43AC-BBDE-D03F6E1D6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3155344"/>
        <c:axId val="456780272"/>
      </c:barChart>
      <c:catAx>
        <c:axId val="453155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80272"/>
        <c:crosses val="autoZero"/>
        <c:auto val="1"/>
        <c:lblAlgn val="ctr"/>
        <c:lblOffset val="100"/>
        <c:noMultiLvlLbl val="0"/>
      </c:catAx>
      <c:valAx>
        <c:axId val="45678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15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[FUTURE_DS_02_Task2_Customer_Churn_Data.xlsx]Churn Analysis!PivotTable4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Churn</a:t>
            </a:r>
            <a:r>
              <a:rPr lang="en-IN" baseline="0">
                <a:solidFill>
                  <a:schemeClr val="tx1"/>
                </a:solidFill>
              </a:rPr>
              <a:t> by Customer Segment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Analysis'!$J$27:$J$28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Analysis'!$I$29:$I$32</c:f>
              <c:strCache>
                <c:ptCount val="3"/>
                <c:pt idx="0">
                  <c:v>Enterprise</c:v>
                </c:pt>
                <c:pt idx="1">
                  <c:v>Individual</c:v>
                </c:pt>
                <c:pt idx="2">
                  <c:v>Small Business</c:v>
                </c:pt>
              </c:strCache>
            </c:strRef>
          </c:cat>
          <c:val>
            <c:numRef>
              <c:f>'Churn Analysis'!$J$29:$J$32</c:f>
              <c:numCache>
                <c:formatCode>General</c:formatCode>
                <c:ptCount val="3"/>
                <c:pt idx="0">
                  <c:v>79</c:v>
                </c:pt>
                <c:pt idx="1">
                  <c:v>469</c:v>
                </c:pt>
                <c:pt idx="2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1E-4989-A233-5EC24233FFF2}"/>
            </c:ext>
          </c:extLst>
        </c:ser>
        <c:ser>
          <c:idx val="1"/>
          <c:order val="1"/>
          <c:tx>
            <c:strRef>
              <c:f>'Churn Analysis'!$K$27:$K$28</c:f>
              <c:strCache>
                <c:ptCount val="1"/>
                <c:pt idx="0">
                  <c:v>Churned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Analysis'!$I$29:$I$32</c:f>
              <c:strCache>
                <c:ptCount val="3"/>
                <c:pt idx="0">
                  <c:v>Enterprise</c:v>
                </c:pt>
                <c:pt idx="1">
                  <c:v>Individual</c:v>
                </c:pt>
                <c:pt idx="2">
                  <c:v>Small Business</c:v>
                </c:pt>
              </c:strCache>
            </c:strRef>
          </c:cat>
          <c:val>
            <c:numRef>
              <c:f>'Churn Analysis'!$K$29:$K$32</c:f>
              <c:numCache>
                <c:formatCode>General</c:formatCode>
                <c:ptCount val="3"/>
                <c:pt idx="0">
                  <c:v>18</c:v>
                </c:pt>
                <c:pt idx="1">
                  <c:v>167</c:v>
                </c:pt>
                <c:pt idx="2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1E-4989-A233-5EC24233F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6038656"/>
        <c:axId val="456799472"/>
      </c:barChart>
      <c:catAx>
        <c:axId val="46603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99472"/>
        <c:crosses val="autoZero"/>
        <c:auto val="1"/>
        <c:lblAlgn val="ctr"/>
        <c:lblOffset val="100"/>
        <c:noMultiLvlLbl val="0"/>
      </c:catAx>
      <c:valAx>
        <c:axId val="4567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03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[FUTURE_DS_02_Task2_Customer_Churn_Data.xlsx]Churn Analysis!PivotTable6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>
                <a:solidFill>
                  <a:schemeClr val="tx1"/>
                </a:solidFill>
              </a:rPr>
              <a:t>Top</a:t>
            </a:r>
            <a:r>
              <a:rPr lang="en-IN" baseline="0">
                <a:solidFill>
                  <a:schemeClr val="tx1"/>
                </a:solidFill>
              </a:rPr>
              <a:t> Reasons for Customer churn</a:t>
            </a:r>
            <a:endParaRPr lang="en-IN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'Churn Analysis'!$I$51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Analysis'!$H$52:$H$57</c:f>
              <c:strCache>
                <c:ptCount val="5"/>
                <c:pt idx="0">
                  <c:v>Not using service</c:v>
                </c:pt>
                <c:pt idx="1">
                  <c:v>Poor service</c:v>
                </c:pt>
                <c:pt idx="2">
                  <c:v>Price too high</c:v>
                </c:pt>
                <c:pt idx="3">
                  <c:v>Switched competitor</c:v>
                </c:pt>
                <c:pt idx="4">
                  <c:v>Technical issues</c:v>
                </c:pt>
              </c:strCache>
            </c:strRef>
          </c:cat>
          <c:val>
            <c:numRef>
              <c:f>'Churn Analysis'!$I$52:$I$57</c:f>
              <c:numCache>
                <c:formatCode>General</c:formatCode>
                <c:ptCount val="5"/>
                <c:pt idx="0">
                  <c:v>42</c:v>
                </c:pt>
                <c:pt idx="1">
                  <c:v>51</c:v>
                </c:pt>
                <c:pt idx="2">
                  <c:v>64</c:v>
                </c:pt>
                <c:pt idx="3">
                  <c:v>48</c:v>
                </c:pt>
                <c:pt idx="4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6C-4BD9-91C9-318BD7480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6326080"/>
        <c:axId val="456829712"/>
      </c:barChart>
      <c:catAx>
        <c:axId val="526326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829712"/>
        <c:crosses val="autoZero"/>
        <c:auto val="1"/>
        <c:lblAlgn val="ctr"/>
        <c:lblOffset val="100"/>
        <c:noMultiLvlLbl val="0"/>
      </c:catAx>
      <c:valAx>
        <c:axId val="45682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6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[FUTURE_DS_02_Task2_Customer_Churn_Data.xlsx]Churn Analysis!PivotTable7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Churn Rate by Customer Cohort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shade val="76000"/>
              </a:schemeClr>
            </a:solidFill>
            <a:ln w="9525">
              <a:solidFill>
                <a:schemeClr val="accent6">
                  <a:shade val="76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tint val="77000"/>
              </a:schemeClr>
            </a:solidFill>
            <a:ln w="9525">
              <a:solidFill>
                <a:schemeClr val="accent6">
                  <a:tint val="77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'Churn Analysis'!$B$78:$B$79</c:f>
              <c:strCache>
                <c:ptCount val="1"/>
                <c:pt idx="0">
                  <c:v>Active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76000"/>
                </a:schemeClr>
              </a:solidFill>
              <a:ln w="9525">
                <a:solidFill>
                  <a:schemeClr val="accent6">
                    <a:shade val="76000"/>
                  </a:schemeClr>
                </a:solidFill>
              </a:ln>
              <a:effectLst/>
            </c:spPr>
          </c:marker>
          <c:cat>
            <c:strRef>
              <c:f>'Churn Analysis'!$A$80:$A$92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'Churn Analysis'!$B$80:$B$92</c:f>
              <c:numCache>
                <c:formatCode>General</c:formatCode>
                <c:ptCount val="12"/>
                <c:pt idx="0">
                  <c:v>48</c:v>
                </c:pt>
                <c:pt idx="1">
                  <c:v>88</c:v>
                </c:pt>
                <c:pt idx="2">
                  <c:v>52</c:v>
                </c:pt>
                <c:pt idx="3">
                  <c:v>63</c:v>
                </c:pt>
                <c:pt idx="4">
                  <c:v>51</c:v>
                </c:pt>
                <c:pt idx="5">
                  <c:v>68</c:v>
                </c:pt>
                <c:pt idx="6">
                  <c:v>71</c:v>
                </c:pt>
                <c:pt idx="7">
                  <c:v>64</c:v>
                </c:pt>
                <c:pt idx="8">
                  <c:v>62</c:v>
                </c:pt>
                <c:pt idx="9">
                  <c:v>78</c:v>
                </c:pt>
                <c:pt idx="10">
                  <c:v>46</c:v>
                </c:pt>
                <c:pt idx="11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4-4844-B361-09A740768F0B}"/>
            </c:ext>
          </c:extLst>
        </c:ser>
        <c:ser>
          <c:idx val="1"/>
          <c:order val="1"/>
          <c:tx>
            <c:strRef>
              <c:f>'Churn Analysis'!$C$78:$C$79</c:f>
              <c:strCache>
                <c:ptCount val="1"/>
                <c:pt idx="0">
                  <c:v>Churned</c:v>
                </c:pt>
              </c:strCache>
            </c:strRef>
          </c:tx>
          <c:spPr>
            <a:ln w="28575" cap="rnd">
              <a:solidFill>
                <a:schemeClr val="accent6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77000"/>
                </a:schemeClr>
              </a:solidFill>
              <a:ln w="9525">
                <a:solidFill>
                  <a:schemeClr val="accent6">
                    <a:tint val="77000"/>
                  </a:schemeClr>
                </a:solidFill>
              </a:ln>
              <a:effectLst/>
            </c:spPr>
          </c:marker>
          <c:cat>
            <c:strRef>
              <c:f>'Churn Analysis'!$A$80:$A$92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'Churn Analysis'!$C$80:$C$92</c:f>
              <c:numCache>
                <c:formatCode>General</c:formatCode>
                <c:ptCount val="12"/>
                <c:pt idx="0">
                  <c:v>23</c:v>
                </c:pt>
                <c:pt idx="1">
                  <c:v>17</c:v>
                </c:pt>
                <c:pt idx="2">
                  <c:v>21</c:v>
                </c:pt>
                <c:pt idx="3">
                  <c:v>19</c:v>
                </c:pt>
                <c:pt idx="4">
                  <c:v>8</c:v>
                </c:pt>
                <c:pt idx="5">
                  <c:v>29</c:v>
                </c:pt>
                <c:pt idx="6">
                  <c:v>18</c:v>
                </c:pt>
                <c:pt idx="7">
                  <c:v>23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4-4844-B361-09A740768F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323296"/>
        <c:axId val="456793232"/>
      </c:lineChart>
      <c:catAx>
        <c:axId val="52632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793232"/>
        <c:crosses val="autoZero"/>
        <c:auto val="1"/>
        <c:lblAlgn val="ctr"/>
        <c:lblOffset val="100"/>
        <c:noMultiLvlLbl val="0"/>
      </c:catAx>
      <c:valAx>
        <c:axId val="45679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32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160020</xdr:rowOff>
    </xdr:from>
    <xdr:to>
      <xdr:col>6</xdr:col>
      <xdr:colOff>579120</xdr:colOff>
      <xdr:row>21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EA6FA0-49C4-67A5-F771-D11A72515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563880</xdr:colOff>
      <xdr:row>6</xdr:row>
      <xdr:rowOff>57150</xdr:rowOff>
    </xdr:from>
    <xdr:to>
      <xdr:col>12</xdr:col>
      <xdr:colOff>1066800</xdr:colOff>
      <xdr:row>22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7E42C58-7B34-4D57-7794-9EB70F953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31</xdr:row>
      <xdr:rowOff>72390</xdr:rowOff>
    </xdr:from>
    <xdr:to>
      <xdr:col>5</xdr:col>
      <xdr:colOff>495300</xdr:colOff>
      <xdr:row>46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93CA9A1-B1FC-1949-6435-ECA3DF6DF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312420</xdr:colOff>
      <xdr:row>32</xdr:row>
      <xdr:rowOff>64770</xdr:rowOff>
    </xdr:from>
    <xdr:to>
      <xdr:col>12</xdr:col>
      <xdr:colOff>167640</xdr:colOff>
      <xdr:row>47</xdr:row>
      <xdr:rowOff>64770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EED073E-6D4F-E03B-0518-947B3C7B6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57</xdr:row>
      <xdr:rowOff>64770</xdr:rowOff>
    </xdr:from>
    <xdr:to>
      <xdr:col>5</xdr:col>
      <xdr:colOff>266700</xdr:colOff>
      <xdr:row>72</xdr:row>
      <xdr:rowOff>64770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2A42841-5146-CF51-89FD-14994D1CB6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266700</xdr:colOff>
      <xdr:row>57</xdr:row>
      <xdr:rowOff>118110</xdr:rowOff>
    </xdr:from>
    <xdr:to>
      <xdr:col>10</xdr:col>
      <xdr:colOff>518160</xdr:colOff>
      <xdr:row>72</xdr:row>
      <xdr:rowOff>118110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3366BA4-6D6F-D9C5-AEE1-6CAAB141B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95</xdr:row>
      <xdr:rowOff>49530</xdr:rowOff>
    </xdr:from>
    <xdr:to>
      <xdr:col>5</xdr:col>
      <xdr:colOff>236220</xdr:colOff>
      <xdr:row>110</xdr:row>
      <xdr:rowOff>49530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1236DE4-1AE0-CBB7-2979-20569AC0C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1280160</xdr:colOff>
      <xdr:row>98</xdr:row>
      <xdr:rowOff>163830</xdr:rowOff>
    </xdr:from>
    <xdr:to>
      <xdr:col>10</xdr:col>
      <xdr:colOff>350520</xdr:colOff>
      <xdr:row>113</xdr:row>
      <xdr:rowOff>163830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7972E59-84F4-D607-3CE9-5AB328E18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129540</xdr:colOff>
      <xdr:row>120</xdr:row>
      <xdr:rowOff>140970</xdr:rowOff>
    </xdr:from>
    <xdr:to>
      <xdr:col>4</xdr:col>
      <xdr:colOff>586740</xdr:colOff>
      <xdr:row>135</xdr:row>
      <xdr:rowOff>140970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F297361-ACD1-0D26-A624-3B50F31FC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1059180</xdr:colOff>
      <xdr:row>123</xdr:row>
      <xdr:rowOff>125730</xdr:rowOff>
    </xdr:from>
    <xdr:to>
      <xdr:col>10</xdr:col>
      <xdr:colOff>609600</xdr:colOff>
      <xdr:row>138</xdr:row>
      <xdr:rowOff>125730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B0AE1AF-5382-7612-4F00-A5386BDB14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10</xdr:row>
      <xdr:rowOff>129540</xdr:rowOff>
    </xdr:from>
    <xdr:to>
      <xdr:col>6</xdr:col>
      <xdr:colOff>121920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602EF-73D0-4FBB-AABC-E38CC033DB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198120</xdr:colOff>
      <xdr:row>10</xdr:row>
      <xdr:rowOff>106680</xdr:rowOff>
    </xdr:from>
    <xdr:to>
      <xdr:col>10</xdr:col>
      <xdr:colOff>601980</xdr:colOff>
      <xdr:row>27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C0A017-A0E4-4E0D-98A2-2D21C56E7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45720</xdr:colOff>
      <xdr:row>10</xdr:row>
      <xdr:rowOff>106680</xdr:rowOff>
    </xdr:from>
    <xdr:to>
      <xdr:col>18</xdr:col>
      <xdr:colOff>129540</xdr:colOff>
      <xdr:row>26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14C97E-8046-45F2-8613-4AB3D79D65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83820</xdr:colOff>
      <xdr:row>45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E4A2E3-3D7F-4DA5-AE2E-97EAA5AD81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205740</xdr:colOff>
      <xdr:row>29</xdr:row>
      <xdr:rowOff>160020</xdr:rowOff>
    </xdr:from>
    <xdr:to>
      <xdr:col>10</xdr:col>
      <xdr:colOff>601980</xdr:colOff>
      <xdr:row>44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9EC2A3-2EE5-40CB-9DB5-D1E974544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121920</xdr:colOff>
      <xdr:row>29</xdr:row>
      <xdr:rowOff>129540</xdr:rowOff>
    </xdr:from>
    <xdr:to>
      <xdr:col>18</xdr:col>
      <xdr:colOff>160020</xdr:colOff>
      <xdr:row>44</xdr:row>
      <xdr:rowOff>99060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B3804B-5721-4BB5-9865-72872C079F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na V" refreshedDate="46287.900469791668" createdVersion="8" refreshedVersion="8" minRefreshableVersion="3" recordCount="1000" xr:uid="{8D2E3C40-A499-457F-970C-9FED61531A88}">
  <cacheSource type="worksheet">
    <worksheetSource name="CustomerData"/>
  </cacheSource>
  <cacheFields count="15">
    <cacheField name="Customer ID" numFmtId="0">
      <sharedItems count="1000">
        <s v="CUST1845"/>
        <s v="CUST1846"/>
        <s v="CUST1381"/>
        <s v="CUST1901"/>
        <s v="CUST1773"/>
        <s v="CUST1104"/>
        <s v="CUST1465"/>
        <s v="CUST1575"/>
        <s v="CUST1707"/>
        <s v="CUST1303"/>
        <s v="CUST1801"/>
        <s v="CUST1790"/>
        <s v="CUST1410"/>
        <s v="CUST1839"/>
        <s v="CUST1889"/>
        <s v="CUST1478"/>
        <s v="CUST1415"/>
        <s v="CUST1540"/>
        <s v="CUST1300"/>
        <s v="CUST1233"/>
        <s v="CUST1369"/>
        <s v="CUST1170"/>
        <s v="CUST1821"/>
        <s v="CUST1272"/>
        <s v="CUST1454"/>
        <s v="CUST1429"/>
        <s v="CUST1830"/>
        <s v="CUST1138"/>
        <s v="CUST1787"/>
        <s v="CUST1385"/>
        <s v="CUST1147"/>
        <s v="CUST1663"/>
        <s v="CUST1117"/>
        <s v="CUST1328"/>
        <s v="CUST1970"/>
        <s v="CUST1844"/>
        <s v="CUST1870"/>
        <s v="CUST1817"/>
        <s v="CUST1562"/>
        <s v="CUST1250"/>
        <s v="CUST1902"/>
        <s v="CUST1056"/>
        <s v="CUST1811"/>
        <s v="CUST1397"/>
        <s v="CUST1352"/>
        <s v="CUST1574"/>
        <s v="CUST1848"/>
        <s v="CUST1699"/>
        <s v="CUST1584"/>
        <s v="CUST1887"/>
        <s v="CUST1898"/>
        <s v="CUST1546"/>
        <s v="CUST1542"/>
        <s v="CUST1858"/>
        <s v="CUST1150"/>
        <s v="CUST1619"/>
        <s v="CUST1279"/>
        <s v="CUST1036"/>
        <s v="CUST1518"/>
        <s v="CUST1387"/>
        <s v="CUST1045"/>
        <s v="CUST1899"/>
        <s v="CUST1659"/>
        <s v="CUST1069"/>
        <s v="CUST1127"/>
        <s v="CUST1217"/>
        <s v="CUST1439"/>
        <s v="CUST1246"/>
        <s v="CUST1280"/>
        <s v="CUST1431"/>
        <s v="CUST1678"/>
        <s v="CUST1007"/>
        <s v="CUST1753"/>
        <s v="CUST1196"/>
        <s v="CUST1881"/>
        <s v="CUST1001"/>
        <s v="CUST1172"/>
        <s v="CUST1728"/>
        <s v="CUST1695"/>
        <s v="CUST1033"/>
        <s v="CUST1910"/>
        <s v="CUST1826"/>
        <s v="CUST1133"/>
        <s v="CUST1359"/>
        <s v="CUST1581"/>
        <s v="CUST1791"/>
        <s v="CUST1951"/>
        <s v="CUST1376"/>
        <s v="CUST1977"/>
        <s v="CUST1010"/>
        <s v="CUST1674"/>
        <s v="CUST1243"/>
        <s v="CUST1700"/>
        <s v="CUST1218"/>
        <s v="CUST1087"/>
        <s v="CUST1588"/>
        <s v="CUST1891"/>
        <s v="CUST1258"/>
        <s v="CUST1580"/>
        <s v="CUST1516"/>
        <s v="CUST1171"/>
        <s v="CUST1583"/>
        <s v="CUST1460"/>
        <s v="CUST1818"/>
        <s v="CUST1310"/>
        <s v="CUST1480"/>
        <s v="CUST1322"/>
        <s v="CUST1808"/>
        <s v="CUST1501"/>
        <s v="CUST1120"/>
        <s v="CUST1873"/>
        <s v="CUST1538"/>
        <s v="CUST1365"/>
        <s v="CUST1726"/>
        <s v="CUST1198"/>
        <s v="CUST1313"/>
        <s v="CUST1724"/>
        <s v="CUST1946"/>
        <s v="CUST1863"/>
        <s v="CUST1778"/>
        <s v="CUST1497"/>
        <s v="CUST1783"/>
        <s v="CUST1418"/>
        <s v="CUST1784"/>
        <s v="CUST1386"/>
        <s v="CUST1874"/>
        <s v="CUST1436"/>
        <s v="CUST1759"/>
        <s v="CUST1157"/>
        <s v="CUST1018"/>
        <s v="CUST1221"/>
        <s v="CUST1074"/>
        <s v="CUST1945"/>
        <s v="CUST1705"/>
        <s v="CUST1434"/>
        <s v="CUST1948"/>
        <s v="CUST1443"/>
        <s v="CUST1670"/>
        <s v="CUST1414"/>
        <s v="CUST1823"/>
        <s v="CUST1604"/>
        <s v="CUST1721"/>
        <s v="CUST1682"/>
        <s v="CUST1306"/>
        <s v="CUST1462"/>
        <s v="CUST1329"/>
        <s v="CUST1620"/>
        <s v="CUST1118"/>
        <s v="CUST1769"/>
        <s v="CUST1241"/>
        <s v="CUST1100"/>
        <s v="CUST1924"/>
        <s v="CUST1408"/>
        <s v="CUST1834"/>
        <s v="CUST1528"/>
        <s v="CUST1256"/>
        <s v="CUST1975"/>
        <s v="CUST1522"/>
        <s v="CUST1752"/>
        <s v="CUST1457"/>
        <s v="CUST1938"/>
        <s v="CUST1357"/>
        <s v="CUST1390"/>
        <s v="CUST1182"/>
        <s v="CUST1273"/>
        <s v="CUST1058"/>
        <s v="CUST1536"/>
        <s v="CUST1961"/>
        <s v="CUST1884"/>
        <s v="CUST1533"/>
        <s v="CUST1750"/>
        <s v="CUST1847"/>
        <s v="CUST1937"/>
        <s v="CUST1178"/>
        <s v="CUST1083"/>
        <s v="CUST1287"/>
        <s v="CUST1467"/>
        <s v="CUST1168"/>
        <s v="CUST1350"/>
        <s v="CUST1532"/>
        <s v="CUST1041"/>
        <s v="CUST1623"/>
        <s v="CUST1187"/>
        <s v="CUST1703"/>
        <s v="CUST1685"/>
        <s v="CUST1704"/>
        <s v="CUST1262"/>
        <s v="CUST1411"/>
        <s v="CUST1908"/>
        <s v="CUST1259"/>
        <s v="CUST1544"/>
        <s v="CUST1230"/>
        <s v="CUST1761"/>
        <s v="CUST1661"/>
        <s v="CUST1392"/>
        <s v="CUST1349"/>
        <s v="CUST1251"/>
        <s v="CUST1023"/>
        <s v="CUST1469"/>
        <s v="CUST1635"/>
        <s v="CUST1564"/>
        <s v="CUST1912"/>
        <s v="CUST1253"/>
        <s v="CUST1072"/>
        <s v="CUST1888"/>
        <s v="CUST1523"/>
        <s v="CUST1398"/>
        <s v="CUST1993"/>
        <s v="CUST1052"/>
        <s v="CUST1543"/>
        <s v="CUST1426"/>
        <s v="CUST1838"/>
        <s v="CUST1102"/>
        <s v="CUST1653"/>
        <s v="CUST1224"/>
        <s v="CUST1339"/>
        <s v="CUST1872"/>
        <s v="CUST1664"/>
        <s v="CUST1009"/>
        <s v="CUST1735"/>
        <s v="CUST1142"/>
        <s v="CUST1903"/>
        <s v="CUST1964"/>
        <s v="CUST1363"/>
        <s v="CUST1976"/>
        <s v="CUST1078"/>
        <s v="CUST1032"/>
        <s v="CUST1412"/>
        <s v="CUST1567"/>
        <s v="CUST1486"/>
        <s v="CUST1326"/>
        <s v="CUST1626"/>
        <s v="CUST1637"/>
        <s v="CUST1148"/>
        <s v="CUST1327"/>
        <s v="CUST1510"/>
        <s v="CUST1719"/>
        <s v="CUST1566"/>
        <s v="CUST1854"/>
        <s v="CUST1097"/>
        <s v="CUST1593"/>
        <s v="CUST1832"/>
        <s v="CUST1384"/>
        <s v="CUST1189"/>
        <s v="CUST1989"/>
        <s v="CUST1315"/>
        <s v="CUST1831"/>
        <s v="CUST1857"/>
        <s v="CUST1119"/>
        <s v="CUST1925"/>
        <s v="CUST1508"/>
        <s v="CUST1617"/>
        <s v="CUST1568"/>
        <s v="CUST1483"/>
        <s v="CUST1919"/>
        <s v="CUST1696"/>
        <s v="CUST1933"/>
        <s v="CUST1346"/>
        <s v="CUST1211"/>
        <s v="CUST1380"/>
        <s v="CUST1209"/>
        <s v="CUST1618"/>
        <s v="CUST1206"/>
        <s v="CUST1292"/>
        <s v="CUST1779"/>
        <s v="CUST1509"/>
        <s v="CUST1890"/>
        <s v="CUST1744"/>
        <s v="CUST1216"/>
        <s v="CUST1281"/>
        <s v="CUST1143"/>
        <s v="CUST1505"/>
        <s v="CUST1111"/>
        <s v="CUST1950"/>
        <s v="CUST1039"/>
        <s v="CUST1413"/>
        <s v="CUST1152"/>
        <s v="CUST1314"/>
        <s v="CUST1399"/>
        <s v="CUST1534"/>
        <s v="CUST1573"/>
        <s v="CUST1299"/>
        <s v="CUST1814"/>
        <s v="CUST1450"/>
        <s v="CUST1481"/>
        <s v="CUST1841"/>
        <s v="CUST1660"/>
        <s v="CUST1495"/>
        <s v="CUST1096"/>
        <s v="CUST1855"/>
        <s v="CUST1342"/>
        <s v="CUST1796"/>
        <s v="CUST1154"/>
        <s v="CUST1271"/>
        <s v="CUST1638"/>
        <s v="CUST1419"/>
        <s v="CUST1263"/>
        <s v="CUST1928"/>
        <s v="CUST1353"/>
        <s v="CUST1442"/>
        <s v="CUST1971"/>
        <s v="CUST1190"/>
        <s v="CUST1802"/>
        <s v="CUST1307"/>
        <s v="CUST1136"/>
        <s v="CUST1952"/>
        <s v="CUST1226"/>
        <s v="CUST1239"/>
        <s v="CUST1333"/>
        <s v="CUST1526"/>
        <s v="CUST1400"/>
        <s v="CUST1749"/>
        <s v="CUST1088"/>
        <s v="CUST1447"/>
        <s v="CUST1748"/>
        <s v="CUST1968"/>
        <s v="CUST1799"/>
        <s v="CUST1309"/>
        <s v="CUST1988"/>
        <s v="CUST1368"/>
        <s v="CUST1338"/>
        <s v="CUST1403"/>
        <s v="CUST1525"/>
        <s v="CUST1554"/>
        <s v="CUST1321"/>
        <s v="CUST1607"/>
        <s v="CUST1595"/>
        <s v="CUST1167"/>
        <s v="CUST1066"/>
        <s v="CUST1632"/>
        <s v="CUST1646"/>
        <s v="CUST1077"/>
        <s v="CUST1254"/>
        <s v="CUST1294"/>
        <s v="CUST1738"/>
        <s v="CUST1487"/>
        <s v="CUST1371"/>
        <s v="CUST1169"/>
        <s v="CUST1199"/>
        <s v="CUST1627"/>
        <s v="CUST1991"/>
        <s v="CUST1197"/>
        <s v="CUST1268"/>
        <s v="CUST1139"/>
        <s v="CUST1979"/>
        <s v="CUST1044"/>
        <s v="CUST1521"/>
        <s v="CUST1765"/>
        <s v="CUST1998"/>
        <s v="CUST1053"/>
        <s v="CUST1301"/>
        <s v="CUST1746"/>
        <s v="CUST1194"/>
        <s v="CUST1063"/>
        <s v="CUST1201"/>
        <s v="CUST1630"/>
        <s v="CUST1393"/>
        <s v="CUST1628"/>
        <s v="CUST1068"/>
        <s v="CUST1022"/>
        <s v="CUST1332"/>
        <s v="CUST1909"/>
        <s v="CUST1498"/>
        <s v="CUST1374"/>
        <s v="CUST1576"/>
        <s v="CUST1913"/>
        <s v="CUST1770"/>
        <s v="CUST1634"/>
        <s v="CUST1379"/>
        <s v="CUST1188"/>
        <s v="CUST1758"/>
        <s v="CUST1614"/>
        <s v="CUST1094"/>
        <s v="CUST1809"/>
        <s v="CUST1552"/>
        <s v="CUST1440"/>
        <s v="CUST1957"/>
        <s v="CUST1027"/>
        <s v="CUST1942"/>
        <s v="CUST1585"/>
        <s v="CUST1687"/>
        <s v="CUST1164"/>
        <s v="CUST1163"/>
        <s v="CUST1962"/>
        <s v="CUST1065"/>
        <s v="CUST1373"/>
        <s v="CUST1144"/>
        <s v="CUST1907"/>
        <s v="CUST1496"/>
        <s v="CUST1960"/>
        <s v="CUST1572"/>
        <s v="CUST1248"/>
        <s v="CUST1972"/>
        <s v="CUST1464"/>
        <s v="CUST1425"/>
        <s v="CUST1929"/>
        <s v="CUST1275"/>
        <s v="CUST1624"/>
        <s v="CUST1165"/>
        <s v="CUST1732"/>
        <s v="CUST1777"/>
        <s v="CUST1500"/>
        <s v="CUST1954"/>
        <s v="CUST1547"/>
        <s v="CUST1238"/>
        <s v="CUST1994"/>
        <s v="CUST1795"/>
        <s v="CUST1473"/>
        <s v="CUST1621"/>
        <s v="CUST1633"/>
        <s v="CUST1435"/>
        <s v="CUST1354"/>
        <s v="CUST1005"/>
        <s v="CUST1155"/>
        <s v="CUST1407"/>
        <s v="CUST1091"/>
        <s v="CUST1756"/>
        <s v="CUST1140"/>
        <s v="CUST1082"/>
        <s v="CUST1121"/>
        <s v="CUST1298"/>
        <s v="CUST1004"/>
        <s v="CUST1935"/>
        <s v="CUST1800"/>
        <s v="CUST1285"/>
        <s v="CUST1030"/>
        <s v="CUST1689"/>
        <s v="CUST1186"/>
        <s v="CUST1869"/>
        <s v="CUST1923"/>
        <s v="CUST1047"/>
        <s v="CUST1219"/>
        <s v="CUST1883"/>
        <s v="CUST1267"/>
        <s v="CUST1031"/>
        <s v="CUST1214"/>
        <s v="CUST1020"/>
        <s v="CUST1506"/>
        <s v="CUST1833"/>
        <s v="CUST1792"/>
        <s v="CUST1537"/>
        <s v="CUST1222"/>
        <s v="CUST1205"/>
        <s v="CUST1871"/>
        <s v="CUST1798"/>
        <s v="CUST1916"/>
        <s v="CUST1114"/>
        <s v="CUST1335"/>
        <s v="CUST1905"/>
        <s v="CUST1647"/>
        <s v="CUST1612"/>
        <s v="CUST1939"/>
        <s v="CUST1176"/>
        <s v="CUST1073"/>
        <s v="CUST1485"/>
        <s v="CUST1231"/>
        <s v="CUST1474"/>
        <s v="CUST1710"/>
        <s v="CUST1054"/>
        <s v="CUST1277"/>
        <s v="CUST1070"/>
        <s v="CUST1124"/>
        <s v="CUST1367"/>
        <s v="CUST1109"/>
        <s v="CUST1290"/>
        <s v="CUST1709"/>
        <s v="CUST1519"/>
        <s v="CUST1944"/>
        <s v="CUST1076"/>
        <s v="CUST1974"/>
        <s v="CUST1973"/>
        <s v="CUST1622"/>
        <s v="CUST1768"/>
        <s v="CUST1785"/>
        <s v="CUST1644"/>
        <s v="CUST1276"/>
        <s v="CUST1282"/>
        <s v="CUST1651"/>
        <s v="CUST1729"/>
        <s v="CUST1444"/>
        <s v="CUST1718"/>
        <s v="CUST1563"/>
        <s v="CUST1284"/>
        <s v="CUST1235"/>
        <s v="CUST1252"/>
        <s v="CUST1203"/>
        <s v="CUST1185"/>
        <s v="CUST1183"/>
        <s v="CUST1055"/>
        <s v="CUST1180"/>
        <s v="CUST1021"/>
        <s v="CUST1405"/>
        <s v="CUST1453"/>
        <s v="CUST1406"/>
        <s v="CUST1667"/>
        <s v="CUST1556"/>
        <s v="CUST1876"/>
        <s v="CUST1420"/>
        <s v="CUST1629"/>
        <s v="CUST1115"/>
        <s v="CUST1159"/>
        <s v="CUST1445"/>
        <s v="CUST1940"/>
        <s v="CUST1897"/>
        <s v="CUST2000"/>
        <s v="CUST1608"/>
        <s v="CUST1344"/>
        <s v="CUST1017"/>
        <s v="CUST1549"/>
        <s v="CUST1803"/>
        <s v="CUST1717"/>
        <s v="CUST1701"/>
        <s v="CUST1366"/>
        <s v="CUST1679"/>
        <s v="CUST1893"/>
        <s v="CUST1712"/>
        <s v="CUST1449"/>
        <s v="CUST1296"/>
        <s v="CUST1578"/>
        <s v="CUST1997"/>
        <s v="CUST1011"/>
        <s v="CUST1507"/>
        <s v="CUST1488"/>
        <s v="CUST1995"/>
        <s v="CUST1747"/>
        <s v="CUST1656"/>
        <s v="CUST1351"/>
        <s v="CUST1648"/>
        <s v="CUST1561"/>
        <s v="CUST1606"/>
        <s v="CUST1931"/>
        <s v="CUST1927"/>
        <s v="CUST1289"/>
        <s v="CUST1877"/>
        <s v="CUST1539"/>
        <s v="CUST1305"/>
        <s v="CUST1917"/>
        <s v="CUST1807"/>
        <s v="CUST1789"/>
        <s v="CUST1295"/>
        <s v="CUST1229"/>
        <s v="CUST1331"/>
        <s v="CUST1983"/>
        <s v="CUST1057"/>
        <s v="CUST1029"/>
        <s v="CUST1879"/>
        <s v="CUST1992"/>
        <s v="CUST1762"/>
        <s v="CUST1655"/>
        <s v="CUST1330"/>
        <s v="CUST1113"/>
        <s v="CUST1132"/>
        <s v="CUST1755"/>
        <s v="CUST1308"/>
        <s v="CUST1034"/>
        <s v="CUST1456"/>
        <s v="CUST1158"/>
        <s v="CUST1134"/>
        <s v="CUST1706"/>
        <s v="CUST1126"/>
        <s v="CUST1131"/>
        <s v="CUST1980"/>
        <s v="CUST1079"/>
        <s v="CUST1437"/>
        <s v="CUST1116"/>
        <s v="CUST1922"/>
        <s v="CUST1708"/>
        <s v="CUST1570"/>
        <s v="CUST1288"/>
        <s v="CUST1978"/>
        <s v="CUST1129"/>
        <s v="CUST1535"/>
        <s v="CUST1930"/>
        <s v="CUST1597"/>
        <s v="CUST1677"/>
        <s v="CUST1228"/>
        <s v="CUST1424"/>
        <s v="CUST1266"/>
        <s v="CUST1242"/>
        <s v="CUST1260"/>
        <s v="CUST1985"/>
        <s v="CUST1966"/>
        <s v="CUST1786"/>
        <s v="CUST1981"/>
        <s v="CUST1270"/>
        <s v="CUST1548"/>
        <s v="CUST1698"/>
        <s v="CUST1688"/>
        <s v="CUST1915"/>
        <s v="CUST1520"/>
        <s v="CUST1455"/>
        <s v="CUST1468"/>
        <s v="CUST1531"/>
        <s v="CUST1394"/>
        <s v="CUST1720"/>
        <s v="CUST1665"/>
        <s v="CUST1967"/>
        <s v="CUST1494"/>
        <s v="CUST1625"/>
        <s v="CUST1137"/>
        <s v="CUST1193"/>
        <s v="CUST1850"/>
        <s v="CUST1490"/>
        <s v="CUST1956"/>
        <s v="CUST1896"/>
        <s v="CUST1767"/>
        <s v="CUST1269"/>
        <s v="CUST1900"/>
        <s v="CUST1601"/>
        <s v="CUST1323"/>
        <s v="CUST1702"/>
        <s v="CUST1672"/>
        <s v="CUST1953"/>
        <s v="CUST1987"/>
        <s v="CUST1343"/>
        <s v="CUST1675"/>
        <s v="CUST1825"/>
        <s v="CUST1240"/>
        <s v="CUST1996"/>
        <s v="CUST1880"/>
        <s v="CUST1245"/>
        <s v="CUST1085"/>
        <s v="CUST1599"/>
        <s v="CUST1192"/>
        <s v="CUST1040"/>
        <s v="CUST1743"/>
        <s v="CUST1475"/>
        <s v="CUST1958"/>
        <s v="CUST1341"/>
        <s v="CUST1458"/>
        <s v="CUST1658"/>
        <s v="CUST1130"/>
        <s v="CUST1099"/>
        <s v="CUST1673"/>
        <s v="CUST1920"/>
        <s v="CUST1782"/>
        <s v="CUST1616"/>
        <s v="CUST1569"/>
        <s v="CUST1600"/>
        <s v="CUST1026"/>
        <s v="CUST1984"/>
        <s v="CUST1934"/>
        <s v="CUST1824"/>
        <s v="CUST1771"/>
        <s v="CUST1244"/>
        <s v="CUST1502"/>
        <s v="CUST1003"/>
        <s v="CUST1123"/>
        <s v="CUST1986"/>
        <s v="CUST1652"/>
        <s v="CUST1842"/>
        <s v="CUST1730"/>
        <s v="CUST1316"/>
        <s v="CUST1446"/>
        <s v="CUST1372"/>
        <s v="CUST1255"/>
        <s v="CUST1156"/>
        <s v="CUST1237"/>
        <s v="CUST1819"/>
        <s v="CUST1822"/>
        <s v="CUST1108"/>
        <s v="CUST1162"/>
        <s v="CUST1479"/>
        <s v="CUST1122"/>
        <s v="CUST1311"/>
        <s v="CUST1859"/>
        <s v="CUST1641"/>
        <s v="CUST1736"/>
        <s v="CUST1283"/>
        <s v="CUST1080"/>
        <s v="CUST1312"/>
        <s v="CUST1711"/>
        <s v="CUST1049"/>
        <s v="CUST1257"/>
        <s v="CUST1416"/>
        <s v="CUST1550"/>
        <s v="CUST1827"/>
        <s v="CUST1060"/>
        <s v="CUST1191"/>
        <s v="CUST1098"/>
        <s v="CUST1813"/>
        <s v="CUST1615"/>
        <s v="CUST1788"/>
        <s v="CUST1636"/>
        <s v="CUST1075"/>
        <s v="CUST1587"/>
        <s v="CUST1941"/>
        <s v="CUST1422"/>
        <s v="CUST1666"/>
        <s v="CUST1866"/>
        <s v="CUST1008"/>
        <s v="CUST1175"/>
        <s v="CUST1184"/>
        <s v="CUST1875"/>
        <s v="CUST1932"/>
        <s v="CUST1043"/>
        <s v="CUST1086"/>
        <s v="CUST1204"/>
        <s v="CUST1223"/>
        <s v="CUST1982"/>
        <s v="CUST1110"/>
        <s v="CUST1906"/>
        <s v="CUST1541"/>
        <s v="CUST1892"/>
        <s v="CUST1212"/>
        <s v="CUST1774"/>
        <s v="CUST1430"/>
        <s v="CUST1015"/>
        <s v="CUST1177"/>
        <s v="CUST1236"/>
        <s v="CUST1395"/>
        <s v="CUST1697"/>
        <s v="CUST1793"/>
        <s v="CUST1174"/>
        <s v="CUST1727"/>
        <s v="CUST1225"/>
        <s v="CUST1676"/>
        <s v="CUST1461"/>
        <s v="CUST1681"/>
        <s v="CUST1713"/>
        <s v="CUST1318"/>
        <s v="CUST1737"/>
        <s v="CUST1760"/>
        <s v="CUST1317"/>
        <s v="CUST1731"/>
        <s v="CUST1013"/>
        <s v="CUST1377"/>
        <s v="CUST1886"/>
        <s v="CUST1557"/>
        <s v="CUST1215"/>
        <s v="CUST1631"/>
        <s v="CUST1662"/>
        <s v="CUST1471"/>
        <s v="CUST1739"/>
        <s v="CUST1805"/>
        <s v="CUST1603"/>
        <s v="CUST1432"/>
        <s v="CUST1757"/>
        <s v="CUST1062"/>
        <s v="CUST1878"/>
        <s v="CUST1059"/>
        <s v="CUST1512"/>
        <s v="CUST1378"/>
        <s v="CUST1391"/>
        <s v="CUST1463"/>
        <s v="CUST1895"/>
        <s v="CUST1360"/>
        <s v="CUST1493"/>
        <s v="CUST1042"/>
        <s v="CUST1234"/>
        <s v="CUST1247"/>
        <s v="CUST1014"/>
        <s v="CUST1051"/>
        <s v="CUST1714"/>
        <s v="CUST1207"/>
        <s v="CUST1742"/>
        <s v="CUST1657"/>
        <s v="CUST1128"/>
        <s v="CUST1423"/>
        <s v="CUST1489"/>
        <s v="CUST1320"/>
        <s v="CUST1089"/>
        <s v="CUST1645"/>
        <s v="CUST1864"/>
        <s v="CUST1370"/>
        <s v="CUST1173"/>
        <s v="CUST1911"/>
        <s v="CUST1734"/>
        <s v="CUST1002"/>
        <s v="CUST1836"/>
        <s v="CUST1402"/>
        <s v="CUST1815"/>
        <s v="CUST1112"/>
        <s v="CUST1107"/>
        <s v="CUST1210"/>
        <s v="CUST1602"/>
        <s v="CUST1050"/>
        <s v="CUST1598"/>
        <s v="CUST1766"/>
        <s v="CUST1806"/>
        <s v="CUST1690"/>
        <s v="CUST1278"/>
        <s v="CUST1025"/>
        <s v="CUST1725"/>
        <s v="CUST1613"/>
        <s v="CUST1160"/>
        <s v="CUST1955"/>
        <s v="CUST1918"/>
        <s v="CUST1016"/>
        <s v="CUST1476"/>
        <s v="CUST1213"/>
        <s v="CUST1249"/>
        <s v="CUST1990"/>
        <s v="CUST1106"/>
        <s v="CUST1639"/>
        <s v="CUST1559"/>
        <s v="CUST1261"/>
        <s v="CUST1745"/>
        <s v="CUST1135"/>
        <s v="CUST1692"/>
        <s v="CUST1071"/>
        <s v="CUST1105"/>
        <s v="CUST1484"/>
        <s v="CUST1716"/>
        <s v="CUST1860"/>
        <s v="CUST1686"/>
        <s v="CUST1596"/>
        <s v="CUST1852"/>
        <s v="CUST1591"/>
        <s v="CUST1551"/>
        <s v="CUST1103"/>
        <s v="CUST1092"/>
        <s v="CUST1654"/>
        <s v="CUST1428"/>
        <s v="CUST1472"/>
        <s v="CUST1291"/>
        <s v="CUST1336"/>
        <s v="CUST1227"/>
        <s v="CUST1837"/>
        <s v="CUST1885"/>
        <s v="CUST1166"/>
        <s v="CUST1514"/>
        <s v="CUST1741"/>
        <s v="CUST1849"/>
        <s v="CUST1867"/>
        <s v="CUST1149"/>
        <s v="CUST1028"/>
        <s v="CUST1794"/>
        <s v="CUST1605"/>
        <s v="CUST1302"/>
        <s v="CUST1524"/>
        <s v="CUST1433"/>
        <s v="CUST1482"/>
        <s v="CUST1038"/>
        <s v="CUST1553"/>
        <s v="CUST1334"/>
        <s v="CUST1545"/>
        <s v="CUST1084"/>
        <s v="CUST1388"/>
        <s v="CUST1090"/>
        <s v="CUST1101"/>
        <s v="CUST1611"/>
        <s v="CUST1582"/>
        <s v="CUST1816"/>
        <s v="CUST1868"/>
        <s v="CUST1589"/>
        <s v="CUST1019"/>
        <s v="CUST1963"/>
        <s v="CUST1513"/>
        <s v="CUST1459"/>
        <s v="CUST1590"/>
        <s v="CUST1093"/>
        <s v="CUST1865"/>
        <s v="CUST1723"/>
        <s v="CUST1775"/>
        <s v="CUST1361"/>
        <s v="CUST1650"/>
        <s v="CUST1477"/>
        <s v="CUST1780"/>
        <s v="CUST1882"/>
        <s v="CUST1297"/>
        <s v="CUST1856"/>
        <s v="CUST1560"/>
        <s v="CUST1835"/>
        <s v="CUST1146"/>
        <s v="CUST1643"/>
        <s v="CUST1151"/>
        <s v="CUST1125"/>
        <s v="CUST1232"/>
        <s v="CUST1006"/>
        <s v="CUST1037"/>
        <s v="CUST1610"/>
        <s v="CUST1668"/>
        <s v="CUST1829"/>
        <s v="CUST1427"/>
        <s v="CUST1492"/>
        <s v="CUST1504"/>
        <s v="CUST1921"/>
        <s v="CUST1558"/>
        <s v="CUST1396"/>
        <s v="CUST1812"/>
        <s v="CUST1781"/>
        <s v="CUST1517"/>
        <s v="CUST1904"/>
        <s v="CUST1375"/>
        <s v="CUST1565"/>
        <s v="CUST1035"/>
        <s v="CUST1389"/>
        <s v="CUST1362"/>
        <s v="CUST1048"/>
        <s v="CUST1358"/>
        <s v="CUST1579"/>
        <s v="CUST1364"/>
        <s v="CUST1740"/>
        <s v="CUST1095"/>
        <s v="CUST1828"/>
        <s v="CUST1304"/>
        <s v="CUST1179"/>
        <s v="CUST1592"/>
        <s v="CUST1220"/>
        <s v="CUST1067"/>
        <s v="CUST1345"/>
        <s v="CUST1202"/>
        <s v="CUST1843"/>
        <s v="CUST1840"/>
        <s v="CUST1943"/>
        <s v="CUST1529"/>
        <s v="CUST1642"/>
        <s v="CUST1324"/>
        <s v="CUST1153"/>
        <s v="CUST1669"/>
        <s v="CUST1969"/>
        <s v="CUST1804"/>
        <s v="CUST1715"/>
        <s v="CUST1530"/>
        <s v="CUST1733"/>
        <s v="CUST1061"/>
        <s v="CUST1452"/>
        <s v="CUST1527"/>
        <s v="CUST1577"/>
        <s v="CUST1586"/>
        <s v="CUST1264"/>
        <s v="CUST1862"/>
        <s v="CUST1438"/>
        <s v="CUST1421"/>
        <s v="CUST1499"/>
        <s v="CUST1024"/>
        <s v="CUST1693"/>
        <s v="CUST1722"/>
        <s v="CUST1491"/>
        <s v="CUST1470"/>
        <s v="CUST1680"/>
        <s v="CUST1764"/>
        <s v="CUST1348"/>
        <s v="CUST1409"/>
        <s v="CUST1382"/>
        <s v="CUST1754"/>
        <s v="CUST1319"/>
        <s v="CUST1181"/>
        <s v="CUST1286"/>
        <s v="CUST1936"/>
        <s v="CUST1081"/>
        <s v="CUST1694"/>
        <s v="CUST1949"/>
        <s v="CUST1383"/>
        <s v="CUST1926"/>
        <s v="CUST1965"/>
        <s v="CUST1640"/>
        <s v="CUST1571"/>
        <s v="CUST1763"/>
        <s v="CUST1340"/>
        <s v="CUST1671"/>
        <s v="CUST1776"/>
        <s v="CUST1448"/>
        <s v="CUST1293"/>
        <s v="CUST1274"/>
        <s v="CUST1684"/>
        <s v="CUST1649"/>
        <s v="CUST1195"/>
        <s v="CUST1451"/>
        <s v="CUST1751"/>
        <s v="CUST1515"/>
        <s v="CUST1683"/>
        <s v="CUST1999"/>
        <s v="CUST1853"/>
        <s v="CUST1503"/>
        <s v="CUST1200"/>
        <s v="CUST1337"/>
        <s v="CUST1609"/>
        <s v="CUST1466"/>
        <s v="CUST1355"/>
        <s v="CUST1797"/>
        <s v="CUST1208"/>
        <s v="CUST1064"/>
        <s v="CUST1417"/>
        <s v="CUST1861"/>
        <s v="CUST1404"/>
        <s v="CUST1046"/>
        <s v="CUST1959"/>
        <s v="CUST1325"/>
        <s v="CUST1441"/>
        <s v="CUST1947"/>
        <s v="CUST1012"/>
        <s v="CUST1851"/>
        <s v="CUST1914"/>
        <s v="CUST1894"/>
        <s v="CUST1594"/>
        <s v="CUST1141"/>
        <s v="CUST1555"/>
        <s v="CUST1772"/>
        <s v="CUST1347"/>
        <s v="CUST1265"/>
        <s v="CUST1145"/>
        <s v="CUST1356"/>
        <s v="CUST1161"/>
        <s v="CUST1810"/>
        <s v="CUST1511"/>
        <s v="CUST1691"/>
        <s v="CUST1820"/>
        <s v="CUST1401"/>
      </sharedItems>
    </cacheField>
    <cacheField name="Signup Date" numFmtId="164">
      <sharedItems containsSemiMixedTypes="0" containsNonDate="0" containsDate="1" containsString="0" minDate="2025-01-02T00:00:00" maxDate="2026-01-01T00:00:00"/>
    </cacheField>
    <cacheField name="Cohort Month" numFmtId="0">
      <sharedItems count="12"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Subscription Plan" numFmtId="0">
      <sharedItems count="3">
        <s v="Premium"/>
        <s v="Standard"/>
        <s v="Basic"/>
      </sharedItems>
    </cacheField>
    <cacheField name="Region" numFmtId="0">
      <sharedItems count="4">
        <s v="West"/>
        <s v="South"/>
        <s v="North"/>
        <s v="East"/>
      </sharedItems>
    </cacheField>
    <cacheField name="Age Group" numFmtId="0">
      <sharedItems count="5">
        <s v="36-45"/>
        <s v="26-35"/>
        <s v="18-25"/>
        <s v="46-55"/>
        <s v="56+"/>
      </sharedItems>
    </cacheField>
    <cacheField name="Customer Segment" numFmtId="0">
      <sharedItems count="3">
        <s v="Small Business"/>
        <s v="Enterprise"/>
        <s v="Individual"/>
      </sharedItems>
    </cacheField>
    <cacheField name="Acquisition Channel" numFmtId="0">
      <sharedItems count="4">
        <s v="Online"/>
        <s v="Social Media"/>
        <s v="Referral"/>
        <s v="Partner"/>
      </sharedItems>
    </cacheField>
    <cacheField name="Tenure (Months)" numFmtId="0">
      <sharedItems containsSemiMixedTypes="0" containsString="0" containsNumber="1" containsInteger="1" minValue="1" maxValue="18" count="18">
        <n v="18"/>
        <n v="11"/>
        <n v="17"/>
        <n v="4"/>
        <n v="8"/>
        <n v="9"/>
        <n v="14"/>
        <n v="16"/>
        <n v="10"/>
        <n v="2"/>
        <n v="15"/>
        <n v="5"/>
        <n v="7"/>
        <n v="1"/>
        <n v="6"/>
        <n v="12"/>
        <n v="3"/>
        <n v="13"/>
      </sharedItems>
    </cacheField>
    <cacheField name="Monthly Charges" numFmtId="0">
      <sharedItems containsSemiMixedTypes="0" containsString="0" containsNumber="1" minValue="450.62" maxValue="1647.52"/>
    </cacheField>
    <cacheField name="Total Charges" numFmtId="0">
      <sharedItems containsSemiMixedTypes="0" containsString="0" containsNumber="1" minValue="464.66" maxValue="28659.599999999999"/>
    </cacheField>
    <cacheField name="Churn Status" numFmtId="0">
      <sharedItems count="2">
        <s v="Active"/>
        <s v="Churned"/>
      </sharedItems>
    </cacheField>
    <cacheField name="Churn Reason" numFmtId="0">
      <sharedItems count="6">
        <s v="Active"/>
        <s v="Price too high"/>
        <s v="Poor service"/>
        <s v="Technical issues"/>
        <s v="Switched competitor"/>
        <s v="Not using service"/>
      </sharedItems>
    </cacheField>
    <cacheField name="Last Active Date" numFmtId="164">
      <sharedItems containsSemiMixedTypes="0" containsNonDate="0" containsDate="1" containsString="0" minDate="2025-03-03T00:00:00" maxDate="2026-07-01T00:00:00"/>
    </cacheField>
    <cacheField name="Customer Lifetime Value" numFmtId="0">
      <sharedItems containsSemiMixedTypes="0" containsString="0" containsNumber="1" minValue="464.66" maxValue="28659.5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d v="2025-01-02T00:00:00"/>
    <x v="0"/>
    <x v="0"/>
    <x v="0"/>
    <x v="0"/>
    <x v="0"/>
    <x v="0"/>
    <x v="0"/>
    <n v="1434.26"/>
    <n v="25816.68"/>
    <x v="0"/>
    <x v="0"/>
    <d v="2026-06-30T00:00:00"/>
    <n v="25816.68"/>
  </r>
  <r>
    <x v="1"/>
    <d v="2025-01-02T00:00:00"/>
    <x v="0"/>
    <x v="1"/>
    <x v="1"/>
    <x v="0"/>
    <x v="1"/>
    <x v="0"/>
    <x v="0"/>
    <n v="923.8"/>
    <n v="16628.400000000001"/>
    <x v="0"/>
    <x v="0"/>
    <d v="2026-06-30T00:00:00"/>
    <n v="16628.400000000001"/>
  </r>
  <r>
    <x v="2"/>
    <d v="2025-01-02T00:00:00"/>
    <x v="0"/>
    <x v="1"/>
    <x v="2"/>
    <x v="1"/>
    <x v="0"/>
    <x v="0"/>
    <x v="1"/>
    <n v="865.12"/>
    <n v="9516.32"/>
    <x v="1"/>
    <x v="1"/>
    <d v="2025-11-23T00:00:00"/>
    <n v="9516.32"/>
  </r>
  <r>
    <x v="3"/>
    <d v="2025-01-02T00:00:00"/>
    <x v="0"/>
    <x v="1"/>
    <x v="2"/>
    <x v="2"/>
    <x v="0"/>
    <x v="1"/>
    <x v="0"/>
    <n v="838.06"/>
    <n v="15085.08"/>
    <x v="0"/>
    <x v="0"/>
    <d v="2026-06-30T00:00:00"/>
    <n v="15085.08"/>
  </r>
  <r>
    <x v="4"/>
    <d v="2025-01-02T00:00:00"/>
    <x v="0"/>
    <x v="1"/>
    <x v="0"/>
    <x v="0"/>
    <x v="0"/>
    <x v="1"/>
    <x v="2"/>
    <n v="915.85"/>
    <n v="15569.45"/>
    <x v="1"/>
    <x v="2"/>
    <d v="2026-06-01T00:00:00"/>
    <n v="15569.45"/>
  </r>
  <r>
    <x v="5"/>
    <d v="2025-01-03T00:00:00"/>
    <x v="0"/>
    <x v="1"/>
    <x v="0"/>
    <x v="3"/>
    <x v="2"/>
    <x v="2"/>
    <x v="3"/>
    <n v="972.79"/>
    <n v="3891.16"/>
    <x v="1"/>
    <x v="3"/>
    <d v="2025-05-17T00:00:00"/>
    <n v="3891.16"/>
  </r>
  <r>
    <x v="6"/>
    <d v="2025-01-03T00:00:00"/>
    <x v="0"/>
    <x v="0"/>
    <x v="0"/>
    <x v="1"/>
    <x v="2"/>
    <x v="0"/>
    <x v="3"/>
    <n v="1557.28"/>
    <n v="6229.12"/>
    <x v="1"/>
    <x v="4"/>
    <d v="2025-05-17T00:00:00"/>
    <n v="6229.12"/>
  </r>
  <r>
    <x v="7"/>
    <d v="2025-01-03T00:00:00"/>
    <x v="0"/>
    <x v="0"/>
    <x v="2"/>
    <x v="3"/>
    <x v="2"/>
    <x v="3"/>
    <x v="0"/>
    <n v="1592.2"/>
    <n v="28659.599999999999"/>
    <x v="0"/>
    <x v="0"/>
    <d v="2026-06-30T00:00:00"/>
    <n v="28659.599999999999"/>
  </r>
  <r>
    <x v="8"/>
    <d v="2025-01-03T00:00:00"/>
    <x v="0"/>
    <x v="1"/>
    <x v="0"/>
    <x v="2"/>
    <x v="2"/>
    <x v="0"/>
    <x v="0"/>
    <n v="880.26"/>
    <n v="15844.68"/>
    <x v="0"/>
    <x v="0"/>
    <d v="2026-06-30T00:00:00"/>
    <n v="15844.68"/>
  </r>
  <r>
    <x v="9"/>
    <d v="2025-01-04T00:00:00"/>
    <x v="0"/>
    <x v="0"/>
    <x v="1"/>
    <x v="2"/>
    <x v="2"/>
    <x v="0"/>
    <x v="0"/>
    <n v="1577.03"/>
    <n v="28386.54"/>
    <x v="0"/>
    <x v="0"/>
    <d v="2026-06-30T00:00:00"/>
    <n v="28386.54"/>
  </r>
  <r>
    <x v="10"/>
    <d v="2025-01-05T00:00:00"/>
    <x v="0"/>
    <x v="2"/>
    <x v="3"/>
    <x v="4"/>
    <x v="2"/>
    <x v="2"/>
    <x v="0"/>
    <n v="469.5"/>
    <n v="8451"/>
    <x v="0"/>
    <x v="0"/>
    <d v="2026-06-30T00:00:00"/>
    <n v="8451"/>
  </r>
  <r>
    <x v="11"/>
    <d v="2025-01-05T00:00:00"/>
    <x v="0"/>
    <x v="1"/>
    <x v="1"/>
    <x v="1"/>
    <x v="2"/>
    <x v="2"/>
    <x v="4"/>
    <n v="969.26"/>
    <n v="7754.08"/>
    <x v="1"/>
    <x v="1"/>
    <d v="2025-09-18T00:00:00"/>
    <n v="7754.08"/>
  </r>
  <r>
    <x v="12"/>
    <d v="2025-01-06T00:00:00"/>
    <x v="0"/>
    <x v="2"/>
    <x v="3"/>
    <x v="0"/>
    <x v="0"/>
    <x v="0"/>
    <x v="0"/>
    <n v="462.44"/>
    <n v="8323.92"/>
    <x v="0"/>
    <x v="0"/>
    <d v="2026-06-30T00:00:00"/>
    <n v="8323.92"/>
  </r>
  <r>
    <x v="13"/>
    <d v="2025-01-06T00:00:00"/>
    <x v="0"/>
    <x v="0"/>
    <x v="2"/>
    <x v="1"/>
    <x v="2"/>
    <x v="1"/>
    <x v="5"/>
    <n v="1394.35"/>
    <n v="12549.15"/>
    <x v="1"/>
    <x v="2"/>
    <d v="2025-10-21T00:00:00"/>
    <n v="12549.15"/>
  </r>
  <r>
    <x v="14"/>
    <d v="2025-01-06T00:00:00"/>
    <x v="0"/>
    <x v="0"/>
    <x v="0"/>
    <x v="1"/>
    <x v="0"/>
    <x v="2"/>
    <x v="6"/>
    <n v="1641.78"/>
    <n v="22984.92"/>
    <x v="1"/>
    <x v="3"/>
    <d v="2026-03-11T00:00:00"/>
    <n v="22984.92"/>
  </r>
  <r>
    <x v="15"/>
    <d v="2025-01-07T00:00:00"/>
    <x v="0"/>
    <x v="1"/>
    <x v="3"/>
    <x v="0"/>
    <x v="2"/>
    <x v="0"/>
    <x v="7"/>
    <n v="871.12"/>
    <n v="13937.92"/>
    <x v="1"/>
    <x v="3"/>
    <d v="2026-05-13T00:00:00"/>
    <n v="13937.92"/>
  </r>
  <r>
    <x v="16"/>
    <d v="2025-01-07T00:00:00"/>
    <x v="0"/>
    <x v="0"/>
    <x v="1"/>
    <x v="1"/>
    <x v="2"/>
    <x v="0"/>
    <x v="0"/>
    <n v="1428.29"/>
    <n v="25709.22"/>
    <x v="0"/>
    <x v="0"/>
    <d v="2026-06-30T00:00:00"/>
    <n v="25709.22"/>
  </r>
  <r>
    <x v="17"/>
    <d v="2025-01-08T00:00:00"/>
    <x v="0"/>
    <x v="2"/>
    <x v="0"/>
    <x v="0"/>
    <x v="0"/>
    <x v="1"/>
    <x v="0"/>
    <n v="491.6"/>
    <n v="8848.7999999999993"/>
    <x v="0"/>
    <x v="0"/>
    <d v="2026-06-30T00:00:00"/>
    <n v="8848.7999999999993"/>
  </r>
  <r>
    <x v="18"/>
    <d v="2025-01-08T00:00:00"/>
    <x v="0"/>
    <x v="1"/>
    <x v="2"/>
    <x v="3"/>
    <x v="2"/>
    <x v="1"/>
    <x v="4"/>
    <n v="880.33"/>
    <n v="7042.64"/>
    <x v="1"/>
    <x v="3"/>
    <d v="2025-08-28T00:00:00"/>
    <n v="7042.64"/>
  </r>
  <r>
    <x v="19"/>
    <d v="2025-01-08T00:00:00"/>
    <x v="0"/>
    <x v="2"/>
    <x v="0"/>
    <x v="0"/>
    <x v="2"/>
    <x v="0"/>
    <x v="0"/>
    <n v="517.04999999999995"/>
    <n v="9306.9"/>
    <x v="0"/>
    <x v="0"/>
    <d v="2026-06-30T00:00:00"/>
    <n v="9306.9"/>
  </r>
  <r>
    <x v="20"/>
    <d v="2025-01-09T00:00:00"/>
    <x v="0"/>
    <x v="2"/>
    <x v="2"/>
    <x v="4"/>
    <x v="0"/>
    <x v="2"/>
    <x v="0"/>
    <n v="461.9"/>
    <n v="8314.2000000000007"/>
    <x v="0"/>
    <x v="0"/>
    <d v="2026-06-30T00:00:00"/>
    <n v="8314.2000000000007"/>
  </r>
  <r>
    <x v="21"/>
    <d v="2025-01-09T00:00:00"/>
    <x v="0"/>
    <x v="1"/>
    <x v="3"/>
    <x v="1"/>
    <x v="2"/>
    <x v="0"/>
    <x v="0"/>
    <n v="958.74"/>
    <n v="17257.32"/>
    <x v="0"/>
    <x v="0"/>
    <d v="2026-06-30T00:00:00"/>
    <n v="17257.32"/>
  </r>
  <r>
    <x v="22"/>
    <d v="2025-01-09T00:00:00"/>
    <x v="0"/>
    <x v="1"/>
    <x v="1"/>
    <x v="2"/>
    <x v="0"/>
    <x v="0"/>
    <x v="8"/>
    <n v="850.62"/>
    <n v="8506.2000000000007"/>
    <x v="1"/>
    <x v="4"/>
    <d v="2025-11-02T00:00:00"/>
    <n v="8506.2000000000007"/>
  </r>
  <r>
    <x v="23"/>
    <d v="2025-01-09T00:00:00"/>
    <x v="0"/>
    <x v="1"/>
    <x v="0"/>
    <x v="3"/>
    <x v="1"/>
    <x v="0"/>
    <x v="0"/>
    <n v="966.58"/>
    <n v="17398.439999999999"/>
    <x v="0"/>
    <x v="0"/>
    <d v="2026-06-30T00:00:00"/>
    <n v="17398.439999999999"/>
  </r>
  <r>
    <x v="24"/>
    <d v="2025-01-10T00:00:00"/>
    <x v="0"/>
    <x v="2"/>
    <x v="3"/>
    <x v="4"/>
    <x v="0"/>
    <x v="3"/>
    <x v="0"/>
    <n v="453.65"/>
    <n v="8165.7"/>
    <x v="0"/>
    <x v="0"/>
    <d v="2026-06-30T00:00:00"/>
    <n v="8165.7"/>
  </r>
  <r>
    <x v="25"/>
    <d v="2025-01-10T00:00:00"/>
    <x v="0"/>
    <x v="1"/>
    <x v="1"/>
    <x v="1"/>
    <x v="2"/>
    <x v="1"/>
    <x v="0"/>
    <n v="966.87"/>
    <n v="17403.66"/>
    <x v="0"/>
    <x v="0"/>
    <d v="2026-06-30T00:00:00"/>
    <n v="17403.66"/>
  </r>
  <r>
    <x v="26"/>
    <d v="2025-01-11T00:00:00"/>
    <x v="0"/>
    <x v="2"/>
    <x v="2"/>
    <x v="1"/>
    <x v="1"/>
    <x v="0"/>
    <x v="0"/>
    <n v="474.03"/>
    <n v="8532.5400000000009"/>
    <x v="0"/>
    <x v="0"/>
    <d v="2026-06-30T00:00:00"/>
    <n v="8532.5400000000009"/>
  </r>
  <r>
    <x v="27"/>
    <d v="2025-01-12T00:00:00"/>
    <x v="0"/>
    <x v="1"/>
    <x v="3"/>
    <x v="1"/>
    <x v="2"/>
    <x v="1"/>
    <x v="0"/>
    <n v="937.01"/>
    <n v="16866.18"/>
    <x v="0"/>
    <x v="0"/>
    <d v="2026-06-30T00:00:00"/>
    <n v="16866.18"/>
  </r>
  <r>
    <x v="28"/>
    <d v="2025-01-12T00:00:00"/>
    <x v="0"/>
    <x v="1"/>
    <x v="3"/>
    <x v="0"/>
    <x v="1"/>
    <x v="1"/>
    <x v="0"/>
    <n v="899.84"/>
    <n v="16197.12"/>
    <x v="0"/>
    <x v="0"/>
    <d v="2026-06-30T00:00:00"/>
    <n v="16197.12"/>
  </r>
  <r>
    <x v="29"/>
    <d v="2025-01-12T00:00:00"/>
    <x v="0"/>
    <x v="2"/>
    <x v="1"/>
    <x v="0"/>
    <x v="1"/>
    <x v="1"/>
    <x v="0"/>
    <n v="498.25"/>
    <n v="8968.5"/>
    <x v="0"/>
    <x v="0"/>
    <d v="2026-06-30T00:00:00"/>
    <n v="8968.5"/>
  </r>
  <r>
    <x v="30"/>
    <d v="2025-01-13T00:00:00"/>
    <x v="0"/>
    <x v="2"/>
    <x v="1"/>
    <x v="3"/>
    <x v="2"/>
    <x v="3"/>
    <x v="9"/>
    <n v="507.02"/>
    <n v="1014.04"/>
    <x v="1"/>
    <x v="2"/>
    <d v="2025-03-11T00:00:00"/>
    <n v="1014.04"/>
  </r>
  <r>
    <x v="31"/>
    <d v="2025-01-13T00:00:00"/>
    <x v="0"/>
    <x v="0"/>
    <x v="2"/>
    <x v="2"/>
    <x v="0"/>
    <x v="0"/>
    <x v="0"/>
    <n v="1451.36"/>
    <n v="26124.48"/>
    <x v="0"/>
    <x v="0"/>
    <d v="2026-06-30T00:00:00"/>
    <n v="26124.48"/>
  </r>
  <r>
    <x v="32"/>
    <d v="2025-01-14T00:00:00"/>
    <x v="0"/>
    <x v="1"/>
    <x v="1"/>
    <x v="1"/>
    <x v="2"/>
    <x v="0"/>
    <x v="2"/>
    <n v="888.29"/>
    <n v="15100.93"/>
    <x v="0"/>
    <x v="0"/>
    <d v="2026-06-30T00:00:00"/>
    <n v="15100.93"/>
  </r>
  <r>
    <x v="33"/>
    <d v="2025-01-14T00:00:00"/>
    <x v="0"/>
    <x v="2"/>
    <x v="2"/>
    <x v="1"/>
    <x v="2"/>
    <x v="0"/>
    <x v="2"/>
    <n v="473.87"/>
    <n v="8055.79"/>
    <x v="0"/>
    <x v="0"/>
    <d v="2026-06-30T00:00:00"/>
    <n v="8055.79"/>
  </r>
  <r>
    <x v="34"/>
    <d v="2025-01-14T00:00:00"/>
    <x v="0"/>
    <x v="2"/>
    <x v="1"/>
    <x v="4"/>
    <x v="2"/>
    <x v="0"/>
    <x v="2"/>
    <n v="535.54999999999995"/>
    <n v="9104.35"/>
    <x v="0"/>
    <x v="0"/>
    <d v="2026-06-30T00:00:00"/>
    <n v="9104.35"/>
  </r>
  <r>
    <x v="35"/>
    <d v="2025-01-14T00:00:00"/>
    <x v="0"/>
    <x v="1"/>
    <x v="1"/>
    <x v="2"/>
    <x v="2"/>
    <x v="2"/>
    <x v="10"/>
    <n v="890.33"/>
    <n v="13354.95"/>
    <x v="1"/>
    <x v="4"/>
    <d v="2026-04-20T00:00:00"/>
    <n v="13354.95"/>
  </r>
  <r>
    <x v="36"/>
    <d v="2025-01-15T00:00:00"/>
    <x v="0"/>
    <x v="2"/>
    <x v="2"/>
    <x v="1"/>
    <x v="2"/>
    <x v="0"/>
    <x v="2"/>
    <n v="519.16999999999996"/>
    <n v="8825.89"/>
    <x v="0"/>
    <x v="0"/>
    <d v="2026-06-30T00:00:00"/>
    <n v="8825.89"/>
  </r>
  <r>
    <x v="37"/>
    <d v="2025-01-16T00:00:00"/>
    <x v="0"/>
    <x v="1"/>
    <x v="1"/>
    <x v="3"/>
    <x v="1"/>
    <x v="0"/>
    <x v="2"/>
    <n v="904.66"/>
    <n v="15379.22"/>
    <x v="0"/>
    <x v="0"/>
    <d v="2026-06-30T00:00:00"/>
    <n v="15379.22"/>
  </r>
  <r>
    <x v="38"/>
    <d v="2025-01-16T00:00:00"/>
    <x v="0"/>
    <x v="1"/>
    <x v="1"/>
    <x v="1"/>
    <x v="0"/>
    <x v="0"/>
    <x v="11"/>
    <n v="881.59"/>
    <n v="4407.95"/>
    <x v="1"/>
    <x v="5"/>
    <d v="2025-06-02T00:00:00"/>
    <n v="4407.95"/>
  </r>
  <r>
    <x v="39"/>
    <d v="2025-01-16T00:00:00"/>
    <x v="0"/>
    <x v="0"/>
    <x v="2"/>
    <x v="2"/>
    <x v="2"/>
    <x v="0"/>
    <x v="2"/>
    <n v="1639.13"/>
    <n v="27865.21"/>
    <x v="0"/>
    <x v="0"/>
    <d v="2026-06-30T00:00:00"/>
    <n v="27865.21"/>
  </r>
  <r>
    <x v="40"/>
    <d v="2025-01-16T00:00:00"/>
    <x v="0"/>
    <x v="2"/>
    <x v="0"/>
    <x v="3"/>
    <x v="0"/>
    <x v="0"/>
    <x v="2"/>
    <n v="469.83"/>
    <n v="7987.11"/>
    <x v="0"/>
    <x v="0"/>
    <d v="2026-06-30T00:00:00"/>
    <n v="7987.11"/>
  </r>
  <r>
    <x v="41"/>
    <d v="2025-01-16T00:00:00"/>
    <x v="0"/>
    <x v="2"/>
    <x v="0"/>
    <x v="0"/>
    <x v="0"/>
    <x v="1"/>
    <x v="2"/>
    <n v="536.82000000000005"/>
    <n v="9125.94"/>
    <x v="0"/>
    <x v="0"/>
    <d v="2026-06-30T00:00:00"/>
    <n v="9125.94"/>
  </r>
  <r>
    <x v="42"/>
    <d v="2025-01-17T00:00:00"/>
    <x v="0"/>
    <x v="1"/>
    <x v="3"/>
    <x v="4"/>
    <x v="2"/>
    <x v="2"/>
    <x v="2"/>
    <n v="837.29"/>
    <n v="14233.93"/>
    <x v="0"/>
    <x v="0"/>
    <d v="2026-06-30T00:00:00"/>
    <n v="14233.93"/>
  </r>
  <r>
    <x v="43"/>
    <d v="2025-01-17T00:00:00"/>
    <x v="0"/>
    <x v="2"/>
    <x v="0"/>
    <x v="4"/>
    <x v="2"/>
    <x v="0"/>
    <x v="2"/>
    <n v="460.74"/>
    <n v="7832.58"/>
    <x v="0"/>
    <x v="0"/>
    <d v="2026-06-30T00:00:00"/>
    <n v="7832.58"/>
  </r>
  <r>
    <x v="44"/>
    <d v="2025-01-17T00:00:00"/>
    <x v="0"/>
    <x v="2"/>
    <x v="3"/>
    <x v="1"/>
    <x v="2"/>
    <x v="1"/>
    <x v="2"/>
    <n v="535.29"/>
    <n v="9099.93"/>
    <x v="0"/>
    <x v="0"/>
    <d v="2026-06-30T00:00:00"/>
    <n v="9099.93"/>
  </r>
  <r>
    <x v="45"/>
    <d v="2025-01-18T00:00:00"/>
    <x v="0"/>
    <x v="0"/>
    <x v="3"/>
    <x v="3"/>
    <x v="2"/>
    <x v="2"/>
    <x v="2"/>
    <n v="1403.96"/>
    <n v="23867.32"/>
    <x v="0"/>
    <x v="0"/>
    <d v="2026-06-30T00:00:00"/>
    <n v="23867.32"/>
  </r>
  <r>
    <x v="46"/>
    <d v="2025-01-19T00:00:00"/>
    <x v="0"/>
    <x v="1"/>
    <x v="0"/>
    <x v="0"/>
    <x v="0"/>
    <x v="1"/>
    <x v="2"/>
    <n v="939.82"/>
    <n v="15976.94"/>
    <x v="0"/>
    <x v="0"/>
    <d v="2026-06-30T00:00:00"/>
    <n v="15976.94"/>
  </r>
  <r>
    <x v="47"/>
    <d v="2025-01-19T00:00:00"/>
    <x v="0"/>
    <x v="2"/>
    <x v="1"/>
    <x v="2"/>
    <x v="2"/>
    <x v="1"/>
    <x v="2"/>
    <n v="495"/>
    <n v="8415"/>
    <x v="0"/>
    <x v="0"/>
    <d v="2026-06-30T00:00:00"/>
    <n v="8415"/>
  </r>
  <r>
    <x v="48"/>
    <d v="2025-01-19T00:00:00"/>
    <x v="0"/>
    <x v="0"/>
    <x v="1"/>
    <x v="3"/>
    <x v="2"/>
    <x v="0"/>
    <x v="2"/>
    <n v="1374.07"/>
    <n v="23359.19"/>
    <x v="0"/>
    <x v="0"/>
    <d v="2026-06-30T00:00:00"/>
    <n v="23359.19"/>
  </r>
  <r>
    <x v="49"/>
    <d v="2025-01-20T00:00:00"/>
    <x v="0"/>
    <x v="1"/>
    <x v="3"/>
    <x v="0"/>
    <x v="2"/>
    <x v="0"/>
    <x v="2"/>
    <n v="858.67"/>
    <n v="14597.39"/>
    <x v="0"/>
    <x v="0"/>
    <d v="2026-06-30T00:00:00"/>
    <n v="14597.39"/>
  </r>
  <r>
    <x v="50"/>
    <d v="2025-01-20T00:00:00"/>
    <x v="0"/>
    <x v="0"/>
    <x v="1"/>
    <x v="2"/>
    <x v="0"/>
    <x v="0"/>
    <x v="2"/>
    <n v="1395.72"/>
    <n v="23727.24"/>
    <x v="0"/>
    <x v="0"/>
    <d v="2026-06-30T00:00:00"/>
    <n v="23727.24"/>
  </r>
  <r>
    <x v="51"/>
    <d v="2025-01-20T00:00:00"/>
    <x v="0"/>
    <x v="2"/>
    <x v="1"/>
    <x v="4"/>
    <x v="2"/>
    <x v="3"/>
    <x v="2"/>
    <n v="487.85"/>
    <n v="8293.4500000000007"/>
    <x v="0"/>
    <x v="0"/>
    <d v="2026-06-30T00:00:00"/>
    <n v="8293.4500000000007"/>
  </r>
  <r>
    <x v="52"/>
    <d v="2025-01-21T00:00:00"/>
    <x v="0"/>
    <x v="1"/>
    <x v="0"/>
    <x v="4"/>
    <x v="0"/>
    <x v="0"/>
    <x v="12"/>
    <n v="810.11"/>
    <n v="5670.77"/>
    <x v="1"/>
    <x v="2"/>
    <d v="2025-08-22T00:00:00"/>
    <n v="5670.77"/>
  </r>
  <r>
    <x v="53"/>
    <d v="2025-01-21T00:00:00"/>
    <x v="0"/>
    <x v="1"/>
    <x v="2"/>
    <x v="0"/>
    <x v="2"/>
    <x v="0"/>
    <x v="13"/>
    <n v="978.61"/>
    <n v="978.61"/>
    <x v="1"/>
    <x v="1"/>
    <d v="2025-03-03T00:00:00"/>
    <n v="978.61"/>
  </r>
  <r>
    <x v="54"/>
    <d v="2025-01-22T00:00:00"/>
    <x v="0"/>
    <x v="2"/>
    <x v="0"/>
    <x v="3"/>
    <x v="0"/>
    <x v="2"/>
    <x v="2"/>
    <n v="467.34"/>
    <n v="7944.78"/>
    <x v="0"/>
    <x v="0"/>
    <d v="2026-06-30T00:00:00"/>
    <n v="7944.78"/>
  </r>
  <r>
    <x v="55"/>
    <d v="2025-01-23T00:00:00"/>
    <x v="0"/>
    <x v="2"/>
    <x v="1"/>
    <x v="1"/>
    <x v="2"/>
    <x v="0"/>
    <x v="11"/>
    <n v="535.24"/>
    <n v="2676.2"/>
    <x v="1"/>
    <x v="1"/>
    <d v="2025-06-19T00:00:00"/>
    <n v="2676.2"/>
  </r>
  <r>
    <x v="56"/>
    <d v="2025-01-24T00:00:00"/>
    <x v="0"/>
    <x v="1"/>
    <x v="1"/>
    <x v="1"/>
    <x v="0"/>
    <x v="0"/>
    <x v="2"/>
    <n v="939.26"/>
    <n v="15967.42"/>
    <x v="0"/>
    <x v="0"/>
    <d v="2026-06-30T00:00:00"/>
    <n v="15967.42"/>
  </r>
  <r>
    <x v="57"/>
    <d v="2025-01-24T00:00:00"/>
    <x v="0"/>
    <x v="2"/>
    <x v="2"/>
    <x v="0"/>
    <x v="0"/>
    <x v="0"/>
    <x v="5"/>
    <n v="524.16999999999996"/>
    <n v="4717.53"/>
    <x v="1"/>
    <x v="5"/>
    <d v="2025-11-03T00:00:00"/>
    <n v="4717.53"/>
  </r>
  <r>
    <x v="58"/>
    <d v="2025-01-25T00:00:00"/>
    <x v="0"/>
    <x v="0"/>
    <x v="1"/>
    <x v="2"/>
    <x v="2"/>
    <x v="2"/>
    <x v="2"/>
    <n v="1595.92"/>
    <n v="27130.639999999999"/>
    <x v="1"/>
    <x v="3"/>
    <d v="2026-06-13T00:00:00"/>
    <n v="27130.639999999999"/>
  </r>
  <r>
    <x v="59"/>
    <d v="2025-01-25T00:00:00"/>
    <x v="0"/>
    <x v="1"/>
    <x v="1"/>
    <x v="2"/>
    <x v="1"/>
    <x v="0"/>
    <x v="2"/>
    <n v="855.95"/>
    <n v="14551.15"/>
    <x v="0"/>
    <x v="0"/>
    <d v="2026-06-30T00:00:00"/>
    <n v="14551.15"/>
  </r>
  <r>
    <x v="60"/>
    <d v="2025-01-25T00:00:00"/>
    <x v="0"/>
    <x v="2"/>
    <x v="2"/>
    <x v="0"/>
    <x v="2"/>
    <x v="0"/>
    <x v="12"/>
    <n v="504.05"/>
    <n v="3528.35"/>
    <x v="1"/>
    <x v="1"/>
    <d v="2025-08-22T00:00:00"/>
    <n v="3528.35"/>
  </r>
  <r>
    <x v="61"/>
    <d v="2025-01-26T00:00:00"/>
    <x v="0"/>
    <x v="1"/>
    <x v="1"/>
    <x v="0"/>
    <x v="2"/>
    <x v="1"/>
    <x v="2"/>
    <n v="909.22"/>
    <n v="15456.74"/>
    <x v="0"/>
    <x v="0"/>
    <d v="2026-06-30T00:00:00"/>
    <n v="15456.74"/>
  </r>
  <r>
    <x v="62"/>
    <d v="2025-01-27T00:00:00"/>
    <x v="0"/>
    <x v="1"/>
    <x v="2"/>
    <x v="4"/>
    <x v="2"/>
    <x v="2"/>
    <x v="9"/>
    <n v="809.81"/>
    <n v="1619.62"/>
    <x v="1"/>
    <x v="4"/>
    <d v="2025-03-26T00:00:00"/>
    <n v="1619.62"/>
  </r>
  <r>
    <x v="63"/>
    <d v="2025-01-28T00:00:00"/>
    <x v="0"/>
    <x v="1"/>
    <x v="2"/>
    <x v="0"/>
    <x v="0"/>
    <x v="2"/>
    <x v="2"/>
    <n v="844"/>
    <n v="14348"/>
    <x v="0"/>
    <x v="0"/>
    <d v="2026-06-30T00:00:00"/>
    <n v="14348"/>
  </r>
  <r>
    <x v="64"/>
    <d v="2025-01-29T00:00:00"/>
    <x v="0"/>
    <x v="1"/>
    <x v="1"/>
    <x v="0"/>
    <x v="0"/>
    <x v="1"/>
    <x v="2"/>
    <n v="941.23"/>
    <n v="16000.91"/>
    <x v="0"/>
    <x v="0"/>
    <d v="2026-06-30T00:00:00"/>
    <n v="16000.91"/>
  </r>
  <r>
    <x v="65"/>
    <d v="2025-01-29T00:00:00"/>
    <x v="0"/>
    <x v="1"/>
    <x v="1"/>
    <x v="0"/>
    <x v="0"/>
    <x v="0"/>
    <x v="2"/>
    <n v="957.66"/>
    <n v="16280.22"/>
    <x v="0"/>
    <x v="0"/>
    <d v="2026-06-30T00:00:00"/>
    <n v="16280.22"/>
  </r>
  <r>
    <x v="66"/>
    <d v="2025-01-30T00:00:00"/>
    <x v="0"/>
    <x v="0"/>
    <x v="1"/>
    <x v="1"/>
    <x v="2"/>
    <x v="2"/>
    <x v="6"/>
    <n v="1545.65"/>
    <n v="21639.1"/>
    <x v="1"/>
    <x v="5"/>
    <d v="2026-04-04T00:00:00"/>
    <n v="21639.1"/>
  </r>
  <r>
    <x v="67"/>
    <d v="2025-01-31T00:00:00"/>
    <x v="0"/>
    <x v="1"/>
    <x v="2"/>
    <x v="3"/>
    <x v="0"/>
    <x v="0"/>
    <x v="14"/>
    <n v="821.26"/>
    <n v="4927.5600000000004"/>
    <x v="1"/>
    <x v="2"/>
    <d v="2025-07-26T00:00:00"/>
    <n v="4927.5600000000004"/>
  </r>
  <r>
    <x v="68"/>
    <d v="2025-01-31T00:00:00"/>
    <x v="0"/>
    <x v="0"/>
    <x v="2"/>
    <x v="2"/>
    <x v="1"/>
    <x v="2"/>
    <x v="2"/>
    <n v="1375.37"/>
    <n v="23381.29"/>
    <x v="0"/>
    <x v="0"/>
    <d v="2026-06-30T00:00:00"/>
    <n v="23381.29"/>
  </r>
  <r>
    <x v="69"/>
    <d v="2025-01-31T00:00:00"/>
    <x v="0"/>
    <x v="2"/>
    <x v="2"/>
    <x v="0"/>
    <x v="2"/>
    <x v="1"/>
    <x v="15"/>
    <n v="548.15"/>
    <n v="6577.8"/>
    <x v="1"/>
    <x v="1"/>
    <d v="2026-02-01T00:00:00"/>
    <n v="6577.8"/>
  </r>
  <r>
    <x v="70"/>
    <d v="2025-01-31T00:00:00"/>
    <x v="0"/>
    <x v="1"/>
    <x v="0"/>
    <x v="1"/>
    <x v="1"/>
    <x v="0"/>
    <x v="2"/>
    <n v="873.68"/>
    <n v="14852.56"/>
    <x v="0"/>
    <x v="0"/>
    <d v="2026-06-30T00:00:00"/>
    <n v="14852.56"/>
  </r>
  <r>
    <x v="71"/>
    <d v="2025-02-01T00:00:00"/>
    <x v="1"/>
    <x v="2"/>
    <x v="0"/>
    <x v="4"/>
    <x v="2"/>
    <x v="0"/>
    <x v="2"/>
    <n v="465.92"/>
    <n v="7920.64"/>
    <x v="0"/>
    <x v="0"/>
    <d v="2026-06-30T00:00:00"/>
    <n v="7920.64"/>
  </r>
  <r>
    <x v="72"/>
    <d v="2025-02-01T00:00:00"/>
    <x v="1"/>
    <x v="2"/>
    <x v="1"/>
    <x v="1"/>
    <x v="2"/>
    <x v="0"/>
    <x v="2"/>
    <n v="491.95"/>
    <n v="8363.15"/>
    <x v="0"/>
    <x v="0"/>
    <d v="2026-06-30T00:00:00"/>
    <n v="8363.15"/>
  </r>
  <r>
    <x v="73"/>
    <d v="2025-02-01T00:00:00"/>
    <x v="1"/>
    <x v="1"/>
    <x v="2"/>
    <x v="1"/>
    <x v="2"/>
    <x v="1"/>
    <x v="2"/>
    <n v="861.44"/>
    <n v="14644.48"/>
    <x v="0"/>
    <x v="0"/>
    <d v="2026-06-30T00:00:00"/>
    <n v="14644.48"/>
  </r>
  <r>
    <x v="74"/>
    <d v="2025-02-01T00:00:00"/>
    <x v="1"/>
    <x v="1"/>
    <x v="0"/>
    <x v="1"/>
    <x v="2"/>
    <x v="0"/>
    <x v="2"/>
    <n v="935.99"/>
    <n v="15911.83"/>
    <x v="0"/>
    <x v="0"/>
    <d v="2026-06-30T00:00:00"/>
    <n v="15911.83"/>
  </r>
  <r>
    <x v="75"/>
    <d v="2025-02-02T00:00:00"/>
    <x v="1"/>
    <x v="1"/>
    <x v="0"/>
    <x v="2"/>
    <x v="2"/>
    <x v="0"/>
    <x v="2"/>
    <n v="839.88"/>
    <n v="14277.96"/>
    <x v="0"/>
    <x v="0"/>
    <d v="2026-06-30T00:00:00"/>
    <n v="14277.96"/>
  </r>
  <r>
    <x v="76"/>
    <d v="2025-02-02T00:00:00"/>
    <x v="1"/>
    <x v="1"/>
    <x v="2"/>
    <x v="1"/>
    <x v="2"/>
    <x v="0"/>
    <x v="2"/>
    <n v="965.32"/>
    <n v="16410.439999999999"/>
    <x v="0"/>
    <x v="0"/>
    <d v="2026-06-30T00:00:00"/>
    <n v="16410.439999999999"/>
  </r>
  <r>
    <x v="77"/>
    <d v="2025-02-02T00:00:00"/>
    <x v="1"/>
    <x v="1"/>
    <x v="1"/>
    <x v="1"/>
    <x v="2"/>
    <x v="0"/>
    <x v="2"/>
    <n v="865.13"/>
    <n v="14707.21"/>
    <x v="0"/>
    <x v="0"/>
    <d v="2026-06-30T00:00:00"/>
    <n v="14707.21"/>
  </r>
  <r>
    <x v="78"/>
    <d v="2025-02-02T00:00:00"/>
    <x v="1"/>
    <x v="0"/>
    <x v="2"/>
    <x v="0"/>
    <x v="2"/>
    <x v="3"/>
    <x v="2"/>
    <n v="1362.33"/>
    <n v="23159.61"/>
    <x v="0"/>
    <x v="0"/>
    <d v="2026-06-30T00:00:00"/>
    <n v="23159.61"/>
  </r>
  <r>
    <x v="79"/>
    <d v="2025-02-03T00:00:00"/>
    <x v="1"/>
    <x v="1"/>
    <x v="2"/>
    <x v="0"/>
    <x v="2"/>
    <x v="2"/>
    <x v="2"/>
    <n v="902.38"/>
    <n v="15340.46"/>
    <x v="0"/>
    <x v="0"/>
    <d v="2026-06-30T00:00:00"/>
    <n v="15340.46"/>
  </r>
  <r>
    <x v="80"/>
    <d v="2025-02-03T00:00:00"/>
    <x v="1"/>
    <x v="1"/>
    <x v="3"/>
    <x v="2"/>
    <x v="2"/>
    <x v="1"/>
    <x v="8"/>
    <n v="847.19"/>
    <n v="8471.9"/>
    <x v="1"/>
    <x v="5"/>
    <d v="2025-11-23T00:00:00"/>
    <n v="8471.9"/>
  </r>
  <r>
    <x v="81"/>
    <d v="2025-02-03T00:00:00"/>
    <x v="1"/>
    <x v="0"/>
    <x v="3"/>
    <x v="3"/>
    <x v="2"/>
    <x v="0"/>
    <x v="2"/>
    <n v="1404.35"/>
    <n v="23873.95"/>
    <x v="0"/>
    <x v="0"/>
    <d v="2026-06-30T00:00:00"/>
    <n v="23873.95"/>
  </r>
  <r>
    <x v="82"/>
    <d v="2025-02-03T00:00:00"/>
    <x v="1"/>
    <x v="2"/>
    <x v="2"/>
    <x v="3"/>
    <x v="2"/>
    <x v="0"/>
    <x v="2"/>
    <n v="491.09"/>
    <n v="8348.5300000000007"/>
    <x v="0"/>
    <x v="0"/>
    <d v="2026-06-30T00:00:00"/>
    <n v="8348.5300000000007"/>
  </r>
  <r>
    <x v="83"/>
    <d v="2025-02-03T00:00:00"/>
    <x v="1"/>
    <x v="1"/>
    <x v="1"/>
    <x v="3"/>
    <x v="0"/>
    <x v="0"/>
    <x v="2"/>
    <n v="908.79"/>
    <n v="15449.43"/>
    <x v="0"/>
    <x v="0"/>
    <d v="2026-06-30T00:00:00"/>
    <n v="15449.43"/>
  </r>
  <r>
    <x v="84"/>
    <d v="2025-02-04T00:00:00"/>
    <x v="1"/>
    <x v="2"/>
    <x v="2"/>
    <x v="1"/>
    <x v="2"/>
    <x v="0"/>
    <x v="2"/>
    <n v="468.25"/>
    <n v="7960.25"/>
    <x v="0"/>
    <x v="0"/>
    <d v="2026-06-30T00:00:00"/>
    <n v="7960.25"/>
  </r>
  <r>
    <x v="85"/>
    <d v="2025-02-04T00:00:00"/>
    <x v="1"/>
    <x v="1"/>
    <x v="3"/>
    <x v="1"/>
    <x v="2"/>
    <x v="0"/>
    <x v="2"/>
    <n v="938.5"/>
    <n v="15954.5"/>
    <x v="0"/>
    <x v="0"/>
    <d v="2026-06-30T00:00:00"/>
    <n v="15954.5"/>
  </r>
  <r>
    <x v="86"/>
    <d v="2025-02-04T00:00:00"/>
    <x v="1"/>
    <x v="0"/>
    <x v="0"/>
    <x v="0"/>
    <x v="0"/>
    <x v="0"/>
    <x v="2"/>
    <n v="1437.63"/>
    <n v="24439.71"/>
    <x v="0"/>
    <x v="0"/>
    <d v="2026-06-30T00:00:00"/>
    <n v="24439.71"/>
  </r>
  <r>
    <x v="87"/>
    <d v="2025-02-04T00:00:00"/>
    <x v="1"/>
    <x v="0"/>
    <x v="0"/>
    <x v="1"/>
    <x v="2"/>
    <x v="2"/>
    <x v="2"/>
    <n v="1492.34"/>
    <n v="25369.78"/>
    <x v="0"/>
    <x v="0"/>
    <d v="2026-06-30T00:00:00"/>
    <n v="25369.78"/>
  </r>
  <r>
    <x v="88"/>
    <d v="2025-02-04T00:00:00"/>
    <x v="1"/>
    <x v="1"/>
    <x v="1"/>
    <x v="3"/>
    <x v="2"/>
    <x v="0"/>
    <x v="2"/>
    <n v="951.2"/>
    <n v="16170.4"/>
    <x v="0"/>
    <x v="0"/>
    <d v="2026-06-30T00:00:00"/>
    <n v="16170.4"/>
  </r>
  <r>
    <x v="89"/>
    <d v="2025-02-04T00:00:00"/>
    <x v="1"/>
    <x v="2"/>
    <x v="0"/>
    <x v="0"/>
    <x v="2"/>
    <x v="0"/>
    <x v="2"/>
    <n v="508.13"/>
    <n v="8638.2099999999991"/>
    <x v="0"/>
    <x v="0"/>
    <d v="2026-06-30T00:00:00"/>
    <n v="8638.2099999999991"/>
  </r>
  <r>
    <x v="90"/>
    <d v="2025-02-04T00:00:00"/>
    <x v="1"/>
    <x v="1"/>
    <x v="1"/>
    <x v="4"/>
    <x v="2"/>
    <x v="0"/>
    <x v="2"/>
    <n v="886.07"/>
    <n v="15063.19"/>
    <x v="0"/>
    <x v="0"/>
    <d v="2026-06-30T00:00:00"/>
    <n v="15063.19"/>
  </r>
  <r>
    <x v="91"/>
    <d v="2025-02-04T00:00:00"/>
    <x v="1"/>
    <x v="0"/>
    <x v="1"/>
    <x v="1"/>
    <x v="0"/>
    <x v="1"/>
    <x v="13"/>
    <n v="1585.27"/>
    <n v="1585.27"/>
    <x v="1"/>
    <x v="5"/>
    <d v="2025-03-17T00:00:00"/>
    <n v="1585.27"/>
  </r>
  <r>
    <x v="92"/>
    <d v="2025-02-04T00:00:00"/>
    <x v="1"/>
    <x v="1"/>
    <x v="0"/>
    <x v="4"/>
    <x v="2"/>
    <x v="2"/>
    <x v="2"/>
    <n v="987.06"/>
    <n v="16780.02"/>
    <x v="0"/>
    <x v="0"/>
    <d v="2026-06-30T00:00:00"/>
    <n v="16780.02"/>
  </r>
  <r>
    <x v="93"/>
    <d v="2025-02-05T00:00:00"/>
    <x v="1"/>
    <x v="2"/>
    <x v="2"/>
    <x v="4"/>
    <x v="0"/>
    <x v="2"/>
    <x v="2"/>
    <n v="548.58000000000004"/>
    <n v="9325.86"/>
    <x v="0"/>
    <x v="0"/>
    <d v="2026-06-30T00:00:00"/>
    <n v="9325.86"/>
  </r>
  <r>
    <x v="94"/>
    <d v="2025-02-05T00:00:00"/>
    <x v="1"/>
    <x v="2"/>
    <x v="1"/>
    <x v="1"/>
    <x v="2"/>
    <x v="2"/>
    <x v="15"/>
    <n v="505.85"/>
    <n v="6070.2"/>
    <x v="1"/>
    <x v="2"/>
    <d v="2026-02-04T00:00:00"/>
    <n v="6070.2"/>
  </r>
  <r>
    <x v="95"/>
    <d v="2025-02-06T00:00:00"/>
    <x v="1"/>
    <x v="1"/>
    <x v="1"/>
    <x v="1"/>
    <x v="2"/>
    <x v="0"/>
    <x v="2"/>
    <n v="852.52"/>
    <n v="14492.84"/>
    <x v="0"/>
    <x v="0"/>
    <d v="2026-06-30T00:00:00"/>
    <n v="14492.84"/>
  </r>
  <r>
    <x v="96"/>
    <d v="2025-02-06T00:00:00"/>
    <x v="1"/>
    <x v="0"/>
    <x v="2"/>
    <x v="2"/>
    <x v="2"/>
    <x v="2"/>
    <x v="2"/>
    <n v="1390.07"/>
    <n v="23631.19"/>
    <x v="0"/>
    <x v="0"/>
    <d v="2026-06-30T00:00:00"/>
    <n v="23631.19"/>
  </r>
  <r>
    <x v="97"/>
    <d v="2025-02-07T00:00:00"/>
    <x v="1"/>
    <x v="0"/>
    <x v="3"/>
    <x v="0"/>
    <x v="2"/>
    <x v="3"/>
    <x v="2"/>
    <n v="1496.96"/>
    <n v="25448.32"/>
    <x v="0"/>
    <x v="0"/>
    <d v="2026-06-30T00:00:00"/>
    <n v="25448.32"/>
  </r>
  <r>
    <x v="98"/>
    <d v="2025-02-07T00:00:00"/>
    <x v="1"/>
    <x v="2"/>
    <x v="1"/>
    <x v="1"/>
    <x v="2"/>
    <x v="1"/>
    <x v="2"/>
    <n v="534.54"/>
    <n v="9087.18"/>
    <x v="0"/>
    <x v="0"/>
    <d v="2026-06-30T00:00:00"/>
    <n v="9087.18"/>
  </r>
  <r>
    <x v="99"/>
    <d v="2025-02-08T00:00:00"/>
    <x v="1"/>
    <x v="2"/>
    <x v="2"/>
    <x v="0"/>
    <x v="2"/>
    <x v="0"/>
    <x v="2"/>
    <n v="454.95"/>
    <n v="7734.15"/>
    <x v="0"/>
    <x v="0"/>
    <d v="2026-06-30T00:00:00"/>
    <n v="7734.15"/>
  </r>
  <r>
    <x v="100"/>
    <d v="2025-02-08T00:00:00"/>
    <x v="1"/>
    <x v="2"/>
    <x v="1"/>
    <x v="0"/>
    <x v="2"/>
    <x v="0"/>
    <x v="2"/>
    <n v="510.5"/>
    <n v="8678.5"/>
    <x v="0"/>
    <x v="0"/>
    <d v="2026-06-30T00:00:00"/>
    <n v="8678.5"/>
  </r>
  <r>
    <x v="101"/>
    <d v="2025-02-08T00:00:00"/>
    <x v="1"/>
    <x v="0"/>
    <x v="0"/>
    <x v="0"/>
    <x v="0"/>
    <x v="0"/>
    <x v="2"/>
    <n v="1520.8"/>
    <n v="25853.599999999999"/>
    <x v="0"/>
    <x v="0"/>
    <d v="2026-06-30T00:00:00"/>
    <n v="25853.599999999999"/>
  </r>
  <r>
    <x v="102"/>
    <d v="2025-02-08T00:00:00"/>
    <x v="1"/>
    <x v="1"/>
    <x v="2"/>
    <x v="4"/>
    <x v="2"/>
    <x v="1"/>
    <x v="2"/>
    <n v="864.63"/>
    <n v="14698.71"/>
    <x v="0"/>
    <x v="0"/>
    <d v="2026-06-30T00:00:00"/>
    <n v="14698.71"/>
  </r>
  <r>
    <x v="103"/>
    <d v="2025-02-08T00:00:00"/>
    <x v="1"/>
    <x v="2"/>
    <x v="0"/>
    <x v="2"/>
    <x v="0"/>
    <x v="3"/>
    <x v="2"/>
    <n v="519.61"/>
    <n v="8833.3700000000008"/>
    <x v="0"/>
    <x v="0"/>
    <d v="2026-06-30T00:00:00"/>
    <n v="8833.3700000000008"/>
  </r>
  <r>
    <x v="104"/>
    <d v="2025-02-09T00:00:00"/>
    <x v="1"/>
    <x v="0"/>
    <x v="1"/>
    <x v="1"/>
    <x v="0"/>
    <x v="2"/>
    <x v="2"/>
    <n v="1575.43"/>
    <n v="26782.31"/>
    <x v="0"/>
    <x v="0"/>
    <d v="2026-06-30T00:00:00"/>
    <n v="26782.31"/>
  </r>
  <r>
    <x v="105"/>
    <d v="2025-02-09T00:00:00"/>
    <x v="1"/>
    <x v="2"/>
    <x v="1"/>
    <x v="3"/>
    <x v="0"/>
    <x v="3"/>
    <x v="2"/>
    <n v="515.55999999999995"/>
    <n v="8764.52"/>
    <x v="0"/>
    <x v="0"/>
    <d v="2026-06-30T00:00:00"/>
    <n v="8764.52"/>
  </r>
  <r>
    <x v="106"/>
    <d v="2025-02-09T00:00:00"/>
    <x v="1"/>
    <x v="1"/>
    <x v="2"/>
    <x v="0"/>
    <x v="0"/>
    <x v="0"/>
    <x v="2"/>
    <n v="961.12"/>
    <n v="16339.04"/>
    <x v="0"/>
    <x v="0"/>
    <d v="2026-06-30T00:00:00"/>
    <n v="16339.04"/>
  </r>
  <r>
    <x v="107"/>
    <d v="2025-02-10T00:00:00"/>
    <x v="1"/>
    <x v="1"/>
    <x v="2"/>
    <x v="2"/>
    <x v="2"/>
    <x v="0"/>
    <x v="2"/>
    <n v="961.68"/>
    <n v="16348.56"/>
    <x v="0"/>
    <x v="0"/>
    <d v="2026-06-30T00:00:00"/>
    <n v="16348.56"/>
  </r>
  <r>
    <x v="108"/>
    <d v="2025-02-11T00:00:00"/>
    <x v="1"/>
    <x v="2"/>
    <x v="0"/>
    <x v="3"/>
    <x v="0"/>
    <x v="0"/>
    <x v="2"/>
    <n v="494.56"/>
    <n v="8407.52"/>
    <x v="0"/>
    <x v="0"/>
    <d v="2026-06-30T00:00:00"/>
    <n v="8407.52"/>
  </r>
  <r>
    <x v="109"/>
    <d v="2025-02-11T00:00:00"/>
    <x v="1"/>
    <x v="2"/>
    <x v="1"/>
    <x v="4"/>
    <x v="1"/>
    <x v="2"/>
    <x v="2"/>
    <n v="455.96"/>
    <n v="7751.32"/>
    <x v="0"/>
    <x v="0"/>
    <d v="2026-06-30T00:00:00"/>
    <n v="7751.32"/>
  </r>
  <r>
    <x v="110"/>
    <d v="2025-02-11T00:00:00"/>
    <x v="1"/>
    <x v="1"/>
    <x v="1"/>
    <x v="3"/>
    <x v="2"/>
    <x v="0"/>
    <x v="2"/>
    <n v="984.11"/>
    <n v="16729.87"/>
    <x v="0"/>
    <x v="0"/>
    <d v="2026-06-30T00:00:00"/>
    <n v="16729.87"/>
  </r>
  <r>
    <x v="111"/>
    <d v="2025-02-12T00:00:00"/>
    <x v="1"/>
    <x v="1"/>
    <x v="1"/>
    <x v="2"/>
    <x v="0"/>
    <x v="0"/>
    <x v="2"/>
    <n v="860.26"/>
    <n v="14624.42"/>
    <x v="0"/>
    <x v="0"/>
    <d v="2026-06-30T00:00:00"/>
    <n v="14624.42"/>
  </r>
  <r>
    <x v="112"/>
    <d v="2025-02-12T00:00:00"/>
    <x v="1"/>
    <x v="2"/>
    <x v="2"/>
    <x v="1"/>
    <x v="1"/>
    <x v="1"/>
    <x v="2"/>
    <n v="516.27"/>
    <n v="8776.59"/>
    <x v="0"/>
    <x v="0"/>
    <d v="2026-06-30T00:00:00"/>
    <n v="8776.59"/>
  </r>
  <r>
    <x v="113"/>
    <d v="2025-02-12T00:00:00"/>
    <x v="1"/>
    <x v="0"/>
    <x v="1"/>
    <x v="3"/>
    <x v="0"/>
    <x v="2"/>
    <x v="8"/>
    <n v="1383.11"/>
    <n v="13831.1"/>
    <x v="1"/>
    <x v="4"/>
    <d v="2025-12-09T00:00:00"/>
    <n v="13831.1"/>
  </r>
  <r>
    <x v="114"/>
    <d v="2025-02-13T00:00:00"/>
    <x v="1"/>
    <x v="1"/>
    <x v="0"/>
    <x v="2"/>
    <x v="2"/>
    <x v="2"/>
    <x v="7"/>
    <n v="971.04"/>
    <n v="15536.64"/>
    <x v="1"/>
    <x v="1"/>
    <d v="2026-06-22T00:00:00"/>
    <n v="15536.64"/>
  </r>
  <r>
    <x v="115"/>
    <d v="2025-02-13T00:00:00"/>
    <x v="1"/>
    <x v="0"/>
    <x v="0"/>
    <x v="0"/>
    <x v="2"/>
    <x v="2"/>
    <x v="7"/>
    <n v="1552.67"/>
    <n v="24842.720000000001"/>
    <x v="0"/>
    <x v="0"/>
    <d v="2026-06-30T00:00:00"/>
    <n v="24842.720000000001"/>
  </r>
  <r>
    <x v="116"/>
    <d v="2025-02-13T00:00:00"/>
    <x v="1"/>
    <x v="1"/>
    <x v="1"/>
    <x v="0"/>
    <x v="2"/>
    <x v="0"/>
    <x v="5"/>
    <n v="835.34"/>
    <n v="7518.06"/>
    <x v="1"/>
    <x v="2"/>
    <d v="2025-11-26T00:00:00"/>
    <n v="7518.06"/>
  </r>
  <r>
    <x v="117"/>
    <d v="2025-02-13T00:00:00"/>
    <x v="1"/>
    <x v="1"/>
    <x v="2"/>
    <x v="1"/>
    <x v="2"/>
    <x v="0"/>
    <x v="7"/>
    <n v="836.63"/>
    <n v="13386.08"/>
    <x v="0"/>
    <x v="0"/>
    <d v="2026-06-30T00:00:00"/>
    <n v="13386.08"/>
  </r>
  <r>
    <x v="118"/>
    <d v="2025-02-13T00:00:00"/>
    <x v="1"/>
    <x v="1"/>
    <x v="2"/>
    <x v="0"/>
    <x v="0"/>
    <x v="0"/>
    <x v="7"/>
    <n v="902.61"/>
    <n v="14441.76"/>
    <x v="0"/>
    <x v="0"/>
    <d v="2026-06-30T00:00:00"/>
    <n v="14441.76"/>
  </r>
  <r>
    <x v="119"/>
    <d v="2025-02-13T00:00:00"/>
    <x v="1"/>
    <x v="2"/>
    <x v="1"/>
    <x v="0"/>
    <x v="0"/>
    <x v="1"/>
    <x v="7"/>
    <n v="514.61"/>
    <n v="8233.76"/>
    <x v="0"/>
    <x v="0"/>
    <d v="2026-06-30T00:00:00"/>
    <n v="8233.76"/>
  </r>
  <r>
    <x v="120"/>
    <d v="2025-02-13T00:00:00"/>
    <x v="1"/>
    <x v="1"/>
    <x v="1"/>
    <x v="0"/>
    <x v="2"/>
    <x v="0"/>
    <x v="7"/>
    <n v="913.51"/>
    <n v="14616.16"/>
    <x v="0"/>
    <x v="0"/>
    <d v="2026-06-30T00:00:00"/>
    <n v="14616.16"/>
  </r>
  <r>
    <x v="121"/>
    <d v="2025-02-14T00:00:00"/>
    <x v="1"/>
    <x v="1"/>
    <x v="1"/>
    <x v="1"/>
    <x v="2"/>
    <x v="3"/>
    <x v="1"/>
    <n v="879.14"/>
    <n v="9670.5400000000009"/>
    <x v="1"/>
    <x v="4"/>
    <d v="2026-01-10T00:00:00"/>
    <n v="9670.5400000000009"/>
  </r>
  <r>
    <x v="122"/>
    <d v="2025-02-14T00:00:00"/>
    <x v="1"/>
    <x v="2"/>
    <x v="0"/>
    <x v="3"/>
    <x v="2"/>
    <x v="1"/>
    <x v="7"/>
    <n v="526.66"/>
    <n v="8426.56"/>
    <x v="0"/>
    <x v="0"/>
    <d v="2026-06-30T00:00:00"/>
    <n v="8426.56"/>
  </r>
  <r>
    <x v="123"/>
    <d v="2025-02-14T00:00:00"/>
    <x v="1"/>
    <x v="1"/>
    <x v="0"/>
    <x v="2"/>
    <x v="2"/>
    <x v="0"/>
    <x v="16"/>
    <n v="824.68"/>
    <n v="2474.04"/>
    <x v="1"/>
    <x v="3"/>
    <d v="2025-05-13T00:00:00"/>
    <n v="2474.04"/>
  </r>
  <r>
    <x v="124"/>
    <d v="2025-02-14T00:00:00"/>
    <x v="1"/>
    <x v="1"/>
    <x v="1"/>
    <x v="1"/>
    <x v="2"/>
    <x v="1"/>
    <x v="7"/>
    <n v="816.66"/>
    <n v="13066.56"/>
    <x v="0"/>
    <x v="0"/>
    <d v="2026-06-30T00:00:00"/>
    <n v="13066.56"/>
  </r>
  <r>
    <x v="125"/>
    <d v="2025-02-15T00:00:00"/>
    <x v="1"/>
    <x v="0"/>
    <x v="1"/>
    <x v="1"/>
    <x v="2"/>
    <x v="2"/>
    <x v="7"/>
    <n v="1560.1"/>
    <n v="24961.599999999999"/>
    <x v="0"/>
    <x v="0"/>
    <d v="2026-06-30T00:00:00"/>
    <n v="24961.599999999999"/>
  </r>
  <r>
    <x v="126"/>
    <d v="2025-02-15T00:00:00"/>
    <x v="1"/>
    <x v="2"/>
    <x v="1"/>
    <x v="0"/>
    <x v="2"/>
    <x v="0"/>
    <x v="7"/>
    <n v="504.26"/>
    <n v="8068.16"/>
    <x v="0"/>
    <x v="0"/>
    <d v="2026-06-30T00:00:00"/>
    <n v="8068.16"/>
  </r>
  <r>
    <x v="127"/>
    <d v="2025-02-16T00:00:00"/>
    <x v="1"/>
    <x v="1"/>
    <x v="1"/>
    <x v="0"/>
    <x v="1"/>
    <x v="2"/>
    <x v="7"/>
    <n v="895.8"/>
    <n v="14332.8"/>
    <x v="0"/>
    <x v="0"/>
    <d v="2026-06-30T00:00:00"/>
    <n v="14332.8"/>
  </r>
  <r>
    <x v="128"/>
    <d v="2025-02-16T00:00:00"/>
    <x v="1"/>
    <x v="0"/>
    <x v="1"/>
    <x v="1"/>
    <x v="2"/>
    <x v="3"/>
    <x v="7"/>
    <n v="1622.48"/>
    <n v="25959.68"/>
    <x v="0"/>
    <x v="0"/>
    <d v="2026-06-30T00:00:00"/>
    <n v="25959.68"/>
  </r>
  <r>
    <x v="129"/>
    <d v="2025-02-16T00:00:00"/>
    <x v="1"/>
    <x v="1"/>
    <x v="3"/>
    <x v="1"/>
    <x v="2"/>
    <x v="0"/>
    <x v="7"/>
    <n v="843.76"/>
    <n v="13500.16"/>
    <x v="0"/>
    <x v="0"/>
    <d v="2026-06-30T00:00:00"/>
    <n v="13500.16"/>
  </r>
  <r>
    <x v="130"/>
    <d v="2025-02-16T00:00:00"/>
    <x v="1"/>
    <x v="1"/>
    <x v="1"/>
    <x v="0"/>
    <x v="0"/>
    <x v="2"/>
    <x v="7"/>
    <n v="946.36"/>
    <n v="15141.76"/>
    <x v="0"/>
    <x v="0"/>
    <d v="2026-06-30T00:00:00"/>
    <n v="15141.76"/>
  </r>
  <r>
    <x v="131"/>
    <d v="2025-02-17T00:00:00"/>
    <x v="1"/>
    <x v="1"/>
    <x v="0"/>
    <x v="3"/>
    <x v="2"/>
    <x v="0"/>
    <x v="7"/>
    <n v="964.22"/>
    <n v="15427.52"/>
    <x v="0"/>
    <x v="0"/>
    <d v="2026-06-30T00:00:00"/>
    <n v="15427.52"/>
  </r>
  <r>
    <x v="132"/>
    <d v="2025-02-17T00:00:00"/>
    <x v="1"/>
    <x v="2"/>
    <x v="2"/>
    <x v="3"/>
    <x v="2"/>
    <x v="3"/>
    <x v="15"/>
    <n v="471.62"/>
    <n v="5659.44"/>
    <x v="1"/>
    <x v="2"/>
    <d v="2026-02-07T00:00:00"/>
    <n v="5659.44"/>
  </r>
  <r>
    <x v="133"/>
    <d v="2025-02-17T00:00:00"/>
    <x v="1"/>
    <x v="2"/>
    <x v="1"/>
    <x v="4"/>
    <x v="0"/>
    <x v="0"/>
    <x v="7"/>
    <n v="463.79"/>
    <n v="7420.64"/>
    <x v="0"/>
    <x v="0"/>
    <d v="2026-06-30T00:00:00"/>
    <n v="7420.64"/>
  </r>
  <r>
    <x v="134"/>
    <d v="2025-02-17T00:00:00"/>
    <x v="1"/>
    <x v="1"/>
    <x v="0"/>
    <x v="3"/>
    <x v="2"/>
    <x v="0"/>
    <x v="7"/>
    <n v="853.93"/>
    <n v="13662.88"/>
    <x v="0"/>
    <x v="0"/>
    <d v="2026-06-30T00:00:00"/>
    <n v="13662.88"/>
  </r>
  <r>
    <x v="135"/>
    <d v="2025-02-18T00:00:00"/>
    <x v="1"/>
    <x v="1"/>
    <x v="2"/>
    <x v="3"/>
    <x v="2"/>
    <x v="0"/>
    <x v="7"/>
    <n v="893.36"/>
    <n v="14293.76"/>
    <x v="0"/>
    <x v="0"/>
    <d v="2026-06-30T00:00:00"/>
    <n v="14293.76"/>
  </r>
  <r>
    <x v="136"/>
    <d v="2025-02-18T00:00:00"/>
    <x v="1"/>
    <x v="2"/>
    <x v="2"/>
    <x v="3"/>
    <x v="2"/>
    <x v="2"/>
    <x v="7"/>
    <n v="463.84"/>
    <n v="7421.44"/>
    <x v="0"/>
    <x v="0"/>
    <d v="2026-06-30T00:00:00"/>
    <n v="7421.44"/>
  </r>
  <r>
    <x v="137"/>
    <d v="2025-02-18T00:00:00"/>
    <x v="1"/>
    <x v="2"/>
    <x v="2"/>
    <x v="0"/>
    <x v="2"/>
    <x v="0"/>
    <x v="10"/>
    <n v="518.82000000000005"/>
    <n v="7782.3"/>
    <x v="1"/>
    <x v="1"/>
    <d v="2026-05-26T00:00:00"/>
    <n v="7782.3"/>
  </r>
  <r>
    <x v="138"/>
    <d v="2025-02-18T00:00:00"/>
    <x v="1"/>
    <x v="0"/>
    <x v="2"/>
    <x v="0"/>
    <x v="2"/>
    <x v="3"/>
    <x v="7"/>
    <n v="1430.82"/>
    <n v="22893.119999999999"/>
    <x v="0"/>
    <x v="0"/>
    <d v="2026-06-30T00:00:00"/>
    <n v="22893.119999999999"/>
  </r>
  <r>
    <x v="139"/>
    <d v="2025-02-19T00:00:00"/>
    <x v="1"/>
    <x v="2"/>
    <x v="2"/>
    <x v="0"/>
    <x v="2"/>
    <x v="3"/>
    <x v="7"/>
    <n v="535.45000000000005"/>
    <n v="8567.2000000000007"/>
    <x v="0"/>
    <x v="0"/>
    <d v="2026-06-30T00:00:00"/>
    <n v="8567.2000000000007"/>
  </r>
  <r>
    <x v="140"/>
    <d v="2025-02-19T00:00:00"/>
    <x v="1"/>
    <x v="0"/>
    <x v="3"/>
    <x v="3"/>
    <x v="2"/>
    <x v="2"/>
    <x v="13"/>
    <n v="1599.48"/>
    <n v="1599.48"/>
    <x v="1"/>
    <x v="4"/>
    <d v="2025-03-25T00:00:00"/>
    <n v="1599.48"/>
  </r>
  <r>
    <x v="141"/>
    <d v="2025-02-20T00:00:00"/>
    <x v="1"/>
    <x v="2"/>
    <x v="1"/>
    <x v="1"/>
    <x v="2"/>
    <x v="0"/>
    <x v="10"/>
    <n v="493.48"/>
    <n v="7402.2"/>
    <x v="1"/>
    <x v="5"/>
    <d v="2026-05-20T00:00:00"/>
    <n v="7402.2"/>
  </r>
  <r>
    <x v="142"/>
    <d v="2025-02-20T00:00:00"/>
    <x v="1"/>
    <x v="2"/>
    <x v="3"/>
    <x v="1"/>
    <x v="2"/>
    <x v="0"/>
    <x v="7"/>
    <n v="501.78"/>
    <n v="8028.48"/>
    <x v="0"/>
    <x v="0"/>
    <d v="2026-06-30T00:00:00"/>
    <n v="8028.48"/>
  </r>
  <r>
    <x v="143"/>
    <d v="2025-02-21T00:00:00"/>
    <x v="1"/>
    <x v="2"/>
    <x v="0"/>
    <x v="1"/>
    <x v="2"/>
    <x v="1"/>
    <x v="7"/>
    <n v="521.64"/>
    <n v="8346.24"/>
    <x v="0"/>
    <x v="0"/>
    <d v="2026-06-30T00:00:00"/>
    <n v="8346.24"/>
  </r>
  <r>
    <x v="144"/>
    <d v="2025-02-21T00:00:00"/>
    <x v="1"/>
    <x v="1"/>
    <x v="2"/>
    <x v="4"/>
    <x v="2"/>
    <x v="0"/>
    <x v="9"/>
    <n v="837.08"/>
    <n v="1674.16"/>
    <x v="1"/>
    <x v="4"/>
    <d v="2025-04-11T00:00:00"/>
    <n v="1674.16"/>
  </r>
  <r>
    <x v="145"/>
    <d v="2025-02-21T00:00:00"/>
    <x v="1"/>
    <x v="0"/>
    <x v="3"/>
    <x v="3"/>
    <x v="1"/>
    <x v="1"/>
    <x v="7"/>
    <n v="1506.61"/>
    <n v="24105.759999999998"/>
    <x v="0"/>
    <x v="0"/>
    <d v="2026-06-30T00:00:00"/>
    <n v="24105.759999999998"/>
  </r>
  <r>
    <x v="146"/>
    <d v="2025-02-21T00:00:00"/>
    <x v="1"/>
    <x v="0"/>
    <x v="1"/>
    <x v="1"/>
    <x v="2"/>
    <x v="2"/>
    <x v="7"/>
    <n v="1349.22"/>
    <n v="21587.52"/>
    <x v="0"/>
    <x v="0"/>
    <d v="2026-06-30T00:00:00"/>
    <n v="21587.52"/>
  </r>
  <r>
    <x v="147"/>
    <d v="2025-02-21T00:00:00"/>
    <x v="1"/>
    <x v="2"/>
    <x v="2"/>
    <x v="3"/>
    <x v="2"/>
    <x v="2"/>
    <x v="7"/>
    <n v="532.5"/>
    <n v="8520"/>
    <x v="0"/>
    <x v="0"/>
    <d v="2026-06-30T00:00:00"/>
    <n v="8520"/>
  </r>
  <r>
    <x v="148"/>
    <d v="2025-02-21T00:00:00"/>
    <x v="1"/>
    <x v="1"/>
    <x v="0"/>
    <x v="4"/>
    <x v="0"/>
    <x v="3"/>
    <x v="7"/>
    <n v="815.81"/>
    <n v="13052.96"/>
    <x v="0"/>
    <x v="0"/>
    <d v="2026-06-30T00:00:00"/>
    <n v="13052.96"/>
  </r>
  <r>
    <x v="149"/>
    <d v="2025-02-21T00:00:00"/>
    <x v="1"/>
    <x v="2"/>
    <x v="1"/>
    <x v="2"/>
    <x v="2"/>
    <x v="0"/>
    <x v="7"/>
    <n v="520.91"/>
    <n v="8334.56"/>
    <x v="0"/>
    <x v="0"/>
    <d v="2026-06-30T00:00:00"/>
    <n v="8334.56"/>
  </r>
  <r>
    <x v="150"/>
    <d v="2025-02-21T00:00:00"/>
    <x v="1"/>
    <x v="1"/>
    <x v="1"/>
    <x v="4"/>
    <x v="2"/>
    <x v="0"/>
    <x v="7"/>
    <n v="894.5"/>
    <n v="14312"/>
    <x v="0"/>
    <x v="0"/>
    <d v="2026-06-30T00:00:00"/>
    <n v="14312"/>
  </r>
  <r>
    <x v="151"/>
    <d v="2025-02-22T00:00:00"/>
    <x v="1"/>
    <x v="1"/>
    <x v="1"/>
    <x v="1"/>
    <x v="2"/>
    <x v="0"/>
    <x v="7"/>
    <n v="949.86"/>
    <n v="15197.76"/>
    <x v="0"/>
    <x v="0"/>
    <d v="2026-06-30T00:00:00"/>
    <n v="15197.76"/>
  </r>
  <r>
    <x v="152"/>
    <d v="2025-02-22T00:00:00"/>
    <x v="1"/>
    <x v="2"/>
    <x v="1"/>
    <x v="2"/>
    <x v="0"/>
    <x v="0"/>
    <x v="7"/>
    <n v="511.33"/>
    <n v="8181.28"/>
    <x v="0"/>
    <x v="0"/>
    <d v="2026-06-30T00:00:00"/>
    <n v="8181.28"/>
  </r>
  <r>
    <x v="153"/>
    <d v="2025-02-22T00:00:00"/>
    <x v="1"/>
    <x v="0"/>
    <x v="1"/>
    <x v="1"/>
    <x v="2"/>
    <x v="0"/>
    <x v="7"/>
    <n v="1489.85"/>
    <n v="23837.599999999999"/>
    <x v="0"/>
    <x v="0"/>
    <d v="2026-06-30T00:00:00"/>
    <n v="23837.599999999999"/>
  </r>
  <r>
    <x v="154"/>
    <d v="2025-02-22T00:00:00"/>
    <x v="1"/>
    <x v="1"/>
    <x v="1"/>
    <x v="3"/>
    <x v="0"/>
    <x v="0"/>
    <x v="7"/>
    <n v="830.1"/>
    <n v="13281.6"/>
    <x v="0"/>
    <x v="0"/>
    <d v="2026-06-30T00:00:00"/>
    <n v="13281.6"/>
  </r>
  <r>
    <x v="155"/>
    <d v="2025-02-22T00:00:00"/>
    <x v="1"/>
    <x v="2"/>
    <x v="2"/>
    <x v="3"/>
    <x v="2"/>
    <x v="2"/>
    <x v="8"/>
    <n v="509.93"/>
    <n v="5099.3"/>
    <x v="1"/>
    <x v="3"/>
    <d v="2025-12-27T00:00:00"/>
    <n v="5099.3"/>
  </r>
  <r>
    <x v="156"/>
    <d v="2025-02-23T00:00:00"/>
    <x v="1"/>
    <x v="1"/>
    <x v="1"/>
    <x v="0"/>
    <x v="2"/>
    <x v="1"/>
    <x v="7"/>
    <n v="829.78"/>
    <n v="13276.48"/>
    <x v="0"/>
    <x v="0"/>
    <d v="2026-06-30T00:00:00"/>
    <n v="13276.48"/>
  </r>
  <r>
    <x v="157"/>
    <d v="2025-02-23T00:00:00"/>
    <x v="1"/>
    <x v="1"/>
    <x v="1"/>
    <x v="3"/>
    <x v="2"/>
    <x v="1"/>
    <x v="7"/>
    <n v="969.71"/>
    <n v="15515.36"/>
    <x v="0"/>
    <x v="0"/>
    <d v="2026-06-30T00:00:00"/>
    <n v="15515.36"/>
  </r>
  <r>
    <x v="158"/>
    <d v="2025-02-23T00:00:00"/>
    <x v="1"/>
    <x v="2"/>
    <x v="0"/>
    <x v="0"/>
    <x v="2"/>
    <x v="0"/>
    <x v="7"/>
    <n v="469.53"/>
    <n v="7512.48"/>
    <x v="0"/>
    <x v="0"/>
    <d v="2026-06-30T00:00:00"/>
    <n v="7512.48"/>
  </r>
  <r>
    <x v="159"/>
    <d v="2025-02-24T00:00:00"/>
    <x v="1"/>
    <x v="1"/>
    <x v="2"/>
    <x v="2"/>
    <x v="1"/>
    <x v="1"/>
    <x v="7"/>
    <n v="907.28"/>
    <n v="14516.48"/>
    <x v="0"/>
    <x v="0"/>
    <d v="2026-06-30T00:00:00"/>
    <n v="14516.48"/>
  </r>
  <r>
    <x v="160"/>
    <d v="2025-02-24T00:00:00"/>
    <x v="1"/>
    <x v="1"/>
    <x v="0"/>
    <x v="1"/>
    <x v="2"/>
    <x v="0"/>
    <x v="7"/>
    <n v="865.59"/>
    <n v="13849.44"/>
    <x v="0"/>
    <x v="0"/>
    <d v="2026-06-30T00:00:00"/>
    <n v="13849.44"/>
  </r>
  <r>
    <x v="161"/>
    <d v="2025-02-25T00:00:00"/>
    <x v="1"/>
    <x v="1"/>
    <x v="1"/>
    <x v="0"/>
    <x v="0"/>
    <x v="2"/>
    <x v="7"/>
    <n v="913.64"/>
    <n v="14618.24"/>
    <x v="0"/>
    <x v="0"/>
    <d v="2026-06-30T00:00:00"/>
    <n v="14618.24"/>
  </r>
  <r>
    <x v="162"/>
    <d v="2025-02-25T00:00:00"/>
    <x v="1"/>
    <x v="1"/>
    <x v="2"/>
    <x v="2"/>
    <x v="2"/>
    <x v="3"/>
    <x v="7"/>
    <n v="824.36"/>
    <n v="13189.76"/>
    <x v="0"/>
    <x v="0"/>
    <d v="2026-06-30T00:00:00"/>
    <n v="13189.76"/>
  </r>
  <r>
    <x v="163"/>
    <d v="2025-02-25T00:00:00"/>
    <x v="1"/>
    <x v="2"/>
    <x v="0"/>
    <x v="3"/>
    <x v="2"/>
    <x v="0"/>
    <x v="7"/>
    <n v="486.33"/>
    <n v="7781.28"/>
    <x v="0"/>
    <x v="0"/>
    <d v="2026-06-30T00:00:00"/>
    <n v="7781.28"/>
  </r>
  <r>
    <x v="164"/>
    <d v="2025-02-25T00:00:00"/>
    <x v="1"/>
    <x v="1"/>
    <x v="2"/>
    <x v="3"/>
    <x v="0"/>
    <x v="0"/>
    <x v="7"/>
    <n v="852.76"/>
    <n v="13644.16"/>
    <x v="0"/>
    <x v="0"/>
    <d v="2026-06-30T00:00:00"/>
    <n v="13644.16"/>
  </r>
  <r>
    <x v="165"/>
    <d v="2025-02-26T00:00:00"/>
    <x v="1"/>
    <x v="1"/>
    <x v="2"/>
    <x v="1"/>
    <x v="1"/>
    <x v="1"/>
    <x v="1"/>
    <n v="868.95"/>
    <n v="9558.4500000000007"/>
    <x v="1"/>
    <x v="2"/>
    <d v="2026-02-08T00:00:00"/>
    <n v="9558.4500000000007"/>
  </r>
  <r>
    <x v="166"/>
    <d v="2025-02-26T00:00:00"/>
    <x v="1"/>
    <x v="1"/>
    <x v="0"/>
    <x v="0"/>
    <x v="2"/>
    <x v="0"/>
    <x v="7"/>
    <n v="966.72"/>
    <n v="15467.52"/>
    <x v="0"/>
    <x v="0"/>
    <d v="2026-06-30T00:00:00"/>
    <n v="15467.52"/>
  </r>
  <r>
    <x v="167"/>
    <d v="2025-02-26T00:00:00"/>
    <x v="1"/>
    <x v="1"/>
    <x v="3"/>
    <x v="1"/>
    <x v="2"/>
    <x v="1"/>
    <x v="7"/>
    <n v="849.55"/>
    <n v="13592.8"/>
    <x v="0"/>
    <x v="0"/>
    <d v="2026-06-30T00:00:00"/>
    <n v="13592.8"/>
  </r>
  <r>
    <x v="168"/>
    <d v="2025-02-26T00:00:00"/>
    <x v="1"/>
    <x v="0"/>
    <x v="1"/>
    <x v="0"/>
    <x v="2"/>
    <x v="0"/>
    <x v="1"/>
    <n v="1574.88"/>
    <n v="17323.68"/>
    <x v="1"/>
    <x v="1"/>
    <d v="2026-02-11T00:00:00"/>
    <n v="17323.68"/>
  </r>
  <r>
    <x v="169"/>
    <d v="2025-02-26T00:00:00"/>
    <x v="1"/>
    <x v="1"/>
    <x v="1"/>
    <x v="1"/>
    <x v="0"/>
    <x v="0"/>
    <x v="7"/>
    <n v="831.47"/>
    <n v="13303.52"/>
    <x v="0"/>
    <x v="0"/>
    <d v="2026-06-30T00:00:00"/>
    <n v="13303.52"/>
  </r>
  <r>
    <x v="170"/>
    <d v="2025-02-27T00:00:00"/>
    <x v="1"/>
    <x v="0"/>
    <x v="1"/>
    <x v="0"/>
    <x v="0"/>
    <x v="1"/>
    <x v="7"/>
    <n v="1462.62"/>
    <n v="23401.919999999998"/>
    <x v="0"/>
    <x v="0"/>
    <d v="2026-06-30T00:00:00"/>
    <n v="23401.919999999998"/>
  </r>
  <r>
    <x v="171"/>
    <d v="2025-02-27T00:00:00"/>
    <x v="1"/>
    <x v="1"/>
    <x v="3"/>
    <x v="3"/>
    <x v="0"/>
    <x v="1"/>
    <x v="7"/>
    <n v="980.76"/>
    <n v="15692.16"/>
    <x v="0"/>
    <x v="0"/>
    <d v="2026-06-30T00:00:00"/>
    <n v="15692.16"/>
  </r>
  <r>
    <x v="172"/>
    <d v="2025-02-27T00:00:00"/>
    <x v="1"/>
    <x v="2"/>
    <x v="2"/>
    <x v="1"/>
    <x v="0"/>
    <x v="1"/>
    <x v="16"/>
    <n v="499.69"/>
    <n v="1499.07"/>
    <x v="1"/>
    <x v="5"/>
    <d v="2025-06-10T00:00:00"/>
    <n v="1499.07"/>
  </r>
  <r>
    <x v="173"/>
    <d v="2025-02-28T00:00:00"/>
    <x v="1"/>
    <x v="1"/>
    <x v="2"/>
    <x v="3"/>
    <x v="2"/>
    <x v="0"/>
    <x v="7"/>
    <n v="913.04"/>
    <n v="14608.64"/>
    <x v="0"/>
    <x v="0"/>
    <d v="2026-06-30T00:00:00"/>
    <n v="14608.64"/>
  </r>
  <r>
    <x v="174"/>
    <d v="2025-02-28T00:00:00"/>
    <x v="1"/>
    <x v="2"/>
    <x v="2"/>
    <x v="2"/>
    <x v="2"/>
    <x v="1"/>
    <x v="7"/>
    <n v="481.47"/>
    <n v="7703.52"/>
    <x v="0"/>
    <x v="0"/>
    <d v="2026-06-30T00:00:00"/>
    <n v="7703.52"/>
  </r>
  <r>
    <x v="175"/>
    <d v="2025-02-28T00:00:00"/>
    <x v="1"/>
    <x v="0"/>
    <x v="1"/>
    <x v="0"/>
    <x v="1"/>
    <x v="0"/>
    <x v="7"/>
    <n v="1612.69"/>
    <n v="25803.040000000001"/>
    <x v="0"/>
    <x v="0"/>
    <d v="2026-06-30T00:00:00"/>
    <n v="25803.040000000001"/>
  </r>
  <r>
    <x v="176"/>
    <d v="2025-03-02T00:00:00"/>
    <x v="2"/>
    <x v="0"/>
    <x v="0"/>
    <x v="1"/>
    <x v="2"/>
    <x v="0"/>
    <x v="7"/>
    <n v="1580.78"/>
    <n v="25292.48"/>
    <x v="0"/>
    <x v="0"/>
    <d v="2026-06-30T00:00:00"/>
    <n v="25292.48"/>
  </r>
  <r>
    <x v="177"/>
    <d v="2025-03-02T00:00:00"/>
    <x v="2"/>
    <x v="0"/>
    <x v="1"/>
    <x v="2"/>
    <x v="2"/>
    <x v="0"/>
    <x v="7"/>
    <n v="1616.49"/>
    <n v="25863.84"/>
    <x v="0"/>
    <x v="0"/>
    <d v="2026-06-30T00:00:00"/>
    <n v="25863.84"/>
  </r>
  <r>
    <x v="178"/>
    <d v="2025-03-02T00:00:00"/>
    <x v="2"/>
    <x v="0"/>
    <x v="0"/>
    <x v="1"/>
    <x v="2"/>
    <x v="1"/>
    <x v="7"/>
    <n v="1584.54"/>
    <n v="25352.639999999999"/>
    <x v="0"/>
    <x v="0"/>
    <d v="2026-06-30T00:00:00"/>
    <n v="25352.639999999999"/>
  </r>
  <r>
    <x v="179"/>
    <d v="2025-03-02T00:00:00"/>
    <x v="2"/>
    <x v="1"/>
    <x v="2"/>
    <x v="2"/>
    <x v="2"/>
    <x v="1"/>
    <x v="6"/>
    <n v="891.09"/>
    <n v="12475.26"/>
    <x v="1"/>
    <x v="4"/>
    <d v="2026-04-24T00:00:00"/>
    <n v="12475.26"/>
  </r>
  <r>
    <x v="180"/>
    <d v="2025-03-02T00:00:00"/>
    <x v="2"/>
    <x v="0"/>
    <x v="0"/>
    <x v="0"/>
    <x v="0"/>
    <x v="0"/>
    <x v="7"/>
    <n v="1637.45"/>
    <n v="26199.200000000001"/>
    <x v="0"/>
    <x v="0"/>
    <d v="2026-06-30T00:00:00"/>
    <n v="26199.200000000001"/>
  </r>
  <r>
    <x v="181"/>
    <d v="2025-03-02T00:00:00"/>
    <x v="2"/>
    <x v="0"/>
    <x v="1"/>
    <x v="1"/>
    <x v="0"/>
    <x v="2"/>
    <x v="7"/>
    <n v="1555.03"/>
    <n v="24880.48"/>
    <x v="0"/>
    <x v="0"/>
    <d v="2026-06-30T00:00:00"/>
    <n v="24880.48"/>
  </r>
  <r>
    <x v="182"/>
    <d v="2025-03-02T00:00:00"/>
    <x v="2"/>
    <x v="1"/>
    <x v="2"/>
    <x v="1"/>
    <x v="2"/>
    <x v="0"/>
    <x v="7"/>
    <n v="821.66"/>
    <n v="13146.56"/>
    <x v="0"/>
    <x v="0"/>
    <d v="2026-06-30T00:00:00"/>
    <n v="13146.56"/>
  </r>
  <r>
    <x v="183"/>
    <d v="2025-03-03T00:00:00"/>
    <x v="2"/>
    <x v="0"/>
    <x v="3"/>
    <x v="4"/>
    <x v="2"/>
    <x v="0"/>
    <x v="13"/>
    <n v="1516.63"/>
    <n v="1516.63"/>
    <x v="1"/>
    <x v="1"/>
    <d v="2025-04-03T00:00:00"/>
    <n v="1516.63"/>
  </r>
  <r>
    <x v="184"/>
    <d v="2025-03-03T00:00:00"/>
    <x v="2"/>
    <x v="2"/>
    <x v="2"/>
    <x v="2"/>
    <x v="1"/>
    <x v="0"/>
    <x v="4"/>
    <n v="468.9"/>
    <n v="3751.2"/>
    <x v="1"/>
    <x v="1"/>
    <d v="2025-10-18T00:00:00"/>
    <n v="3751.2"/>
  </r>
  <r>
    <x v="185"/>
    <d v="2025-03-04T00:00:00"/>
    <x v="2"/>
    <x v="1"/>
    <x v="1"/>
    <x v="0"/>
    <x v="2"/>
    <x v="2"/>
    <x v="7"/>
    <n v="842.54"/>
    <n v="13480.64"/>
    <x v="0"/>
    <x v="0"/>
    <d v="2026-06-30T00:00:00"/>
    <n v="13480.64"/>
  </r>
  <r>
    <x v="186"/>
    <d v="2025-03-04T00:00:00"/>
    <x v="2"/>
    <x v="2"/>
    <x v="1"/>
    <x v="4"/>
    <x v="2"/>
    <x v="2"/>
    <x v="7"/>
    <n v="540.01"/>
    <n v="8640.16"/>
    <x v="0"/>
    <x v="0"/>
    <d v="2026-06-30T00:00:00"/>
    <n v="8640.16"/>
  </r>
  <r>
    <x v="187"/>
    <d v="2025-03-05T00:00:00"/>
    <x v="2"/>
    <x v="1"/>
    <x v="1"/>
    <x v="0"/>
    <x v="2"/>
    <x v="0"/>
    <x v="7"/>
    <n v="981.92"/>
    <n v="15710.72"/>
    <x v="0"/>
    <x v="0"/>
    <d v="2026-06-30T00:00:00"/>
    <n v="15710.72"/>
  </r>
  <r>
    <x v="188"/>
    <d v="2025-03-05T00:00:00"/>
    <x v="2"/>
    <x v="2"/>
    <x v="1"/>
    <x v="1"/>
    <x v="2"/>
    <x v="0"/>
    <x v="7"/>
    <n v="469.93"/>
    <n v="7518.88"/>
    <x v="0"/>
    <x v="0"/>
    <d v="2026-06-30T00:00:00"/>
    <n v="7518.88"/>
  </r>
  <r>
    <x v="189"/>
    <d v="2025-03-05T00:00:00"/>
    <x v="2"/>
    <x v="2"/>
    <x v="3"/>
    <x v="0"/>
    <x v="1"/>
    <x v="0"/>
    <x v="7"/>
    <n v="473.02"/>
    <n v="7568.32"/>
    <x v="0"/>
    <x v="0"/>
    <d v="2026-06-30T00:00:00"/>
    <n v="7568.32"/>
  </r>
  <r>
    <x v="190"/>
    <d v="2025-03-05T00:00:00"/>
    <x v="2"/>
    <x v="1"/>
    <x v="3"/>
    <x v="1"/>
    <x v="1"/>
    <x v="0"/>
    <x v="7"/>
    <n v="988.3"/>
    <n v="15812.8"/>
    <x v="0"/>
    <x v="0"/>
    <d v="2026-06-30T00:00:00"/>
    <n v="15812.8"/>
  </r>
  <r>
    <x v="191"/>
    <d v="2025-03-06T00:00:00"/>
    <x v="2"/>
    <x v="1"/>
    <x v="2"/>
    <x v="4"/>
    <x v="0"/>
    <x v="0"/>
    <x v="7"/>
    <n v="862.81"/>
    <n v="13804.96"/>
    <x v="0"/>
    <x v="0"/>
    <d v="2026-06-30T00:00:00"/>
    <n v="13804.96"/>
  </r>
  <r>
    <x v="192"/>
    <d v="2025-03-06T00:00:00"/>
    <x v="2"/>
    <x v="2"/>
    <x v="0"/>
    <x v="2"/>
    <x v="1"/>
    <x v="2"/>
    <x v="7"/>
    <n v="537.41"/>
    <n v="8598.56"/>
    <x v="0"/>
    <x v="0"/>
    <d v="2026-06-30T00:00:00"/>
    <n v="8598.56"/>
  </r>
  <r>
    <x v="193"/>
    <d v="2025-03-06T00:00:00"/>
    <x v="2"/>
    <x v="2"/>
    <x v="2"/>
    <x v="4"/>
    <x v="2"/>
    <x v="3"/>
    <x v="7"/>
    <n v="517.9"/>
    <n v="8286.4"/>
    <x v="0"/>
    <x v="0"/>
    <d v="2026-06-30T00:00:00"/>
    <n v="8286.4"/>
  </r>
  <r>
    <x v="194"/>
    <d v="2025-03-07T00:00:00"/>
    <x v="2"/>
    <x v="0"/>
    <x v="0"/>
    <x v="4"/>
    <x v="0"/>
    <x v="0"/>
    <x v="7"/>
    <n v="1525.54"/>
    <n v="24408.639999999999"/>
    <x v="0"/>
    <x v="0"/>
    <d v="2026-06-30T00:00:00"/>
    <n v="24408.639999999999"/>
  </r>
  <r>
    <x v="195"/>
    <d v="2025-03-07T00:00:00"/>
    <x v="2"/>
    <x v="2"/>
    <x v="2"/>
    <x v="3"/>
    <x v="2"/>
    <x v="0"/>
    <x v="10"/>
    <n v="459.09"/>
    <n v="6886.35"/>
    <x v="1"/>
    <x v="1"/>
    <d v="2026-06-07T00:00:00"/>
    <n v="6886.35"/>
  </r>
  <r>
    <x v="196"/>
    <d v="2025-03-07T00:00:00"/>
    <x v="2"/>
    <x v="2"/>
    <x v="2"/>
    <x v="1"/>
    <x v="2"/>
    <x v="0"/>
    <x v="12"/>
    <n v="452.77"/>
    <n v="3169.39"/>
    <x v="1"/>
    <x v="3"/>
    <d v="2025-10-05T00:00:00"/>
    <n v="3169.39"/>
  </r>
  <r>
    <x v="197"/>
    <d v="2025-03-08T00:00:00"/>
    <x v="2"/>
    <x v="2"/>
    <x v="3"/>
    <x v="1"/>
    <x v="2"/>
    <x v="1"/>
    <x v="13"/>
    <n v="491.96"/>
    <n v="491.96"/>
    <x v="1"/>
    <x v="5"/>
    <d v="2025-04-21T00:00:00"/>
    <n v="491.96"/>
  </r>
  <r>
    <x v="198"/>
    <d v="2025-03-08T00:00:00"/>
    <x v="2"/>
    <x v="1"/>
    <x v="2"/>
    <x v="0"/>
    <x v="2"/>
    <x v="0"/>
    <x v="7"/>
    <n v="920.73"/>
    <n v="14731.68"/>
    <x v="0"/>
    <x v="0"/>
    <d v="2026-06-30T00:00:00"/>
    <n v="14731.68"/>
  </r>
  <r>
    <x v="199"/>
    <d v="2025-03-08T00:00:00"/>
    <x v="2"/>
    <x v="0"/>
    <x v="2"/>
    <x v="3"/>
    <x v="2"/>
    <x v="3"/>
    <x v="7"/>
    <n v="1447.79"/>
    <n v="23164.639999999999"/>
    <x v="0"/>
    <x v="0"/>
    <d v="2026-06-30T00:00:00"/>
    <n v="23164.639999999999"/>
  </r>
  <r>
    <x v="200"/>
    <d v="2025-03-08T00:00:00"/>
    <x v="2"/>
    <x v="1"/>
    <x v="1"/>
    <x v="3"/>
    <x v="2"/>
    <x v="0"/>
    <x v="9"/>
    <n v="881.28"/>
    <n v="1762.56"/>
    <x v="1"/>
    <x v="5"/>
    <d v="2025-04-27T00:00:00"/>
    <n v="1762.56"/>
  </r>
  <r>
    <x v="201"/>
    <d v="2025-03-08T00:00:00"/>
    <x v="2"/>
    <x v="0"/>
    <x v="3"/>
    <x v="2"/>
    <x v="2"/>
    <x v="1"/>
    <x v="7"/>
    <n v="1576.51"/>
    <n v="25224.16"/>
    <x v="0"/>
    <x v="0"/>
    <d v="2026-06-30T00:00:00"/>
    <n v="25224.16"/>
  </r>
  <r>
    <x v="202"/>
    <d v="2025-03-10T00:00:00"/>
    <x v="2"/>
    <x v="2"/>
    <x v="3"/>
    <x v="3"/>
    <x v="2"/>
    <x v="0"/>
    <x v="7"/>
    <n v="524.91999999999996"/>
    <n v="8398.7199999999993"/>
    <x v="0"/>
    <x v="0"/>
    <d v="2026-06-30T00:00:00"/>
    <n v="8398.7199999999993"/>
  </r>
  <r>
    <x v="203"/>
    <d v="2025-03-11T00:00:00"/>
    <x v="2"/>
    <x v="0"/>
    <x v="2"/>
    <x v="0"/>
    <x v="2"/>
    <x v="3"/>
    <x v="7"/>
    <n v="1354.72"/>
    <n v="21675.52"/>
    <x v="0"/>
    <x v="0"/>
    <d v="2026-06-30T00:00:00"/>
    <n v="21675.52"/>
  </r>
  <r>
    <x v="204"/>
    <d v="2025-03-12T00:00:00"/>
    <x v="2"/>
    <x v="2"/>
    <x v="1"/>
    <x v="4"/>
    <x v="2"/>
    <x v="0"/>
    <x v="5"/>
    <n v="461.91"/>
    <n v="4157.1899999999996"/>
    <x v="1"/>
    <x v="2"/>
    <d v="2025-11-29T00:00:00"/>
    <n v="4157.1899999999996"/>
  </r>
  <r>
    <x v="205"/>
    <d v="2025-03-12T00:00:00"/>
    <x v="2"/>
    <x v="0"/>
    <x v="1"/>
    <x v="0"/>
    <x v="2"/>
    <x v="3"/>
    <x v="7"/>
    <n v="1388.95"/>
    <n v="22223.200000000001"/>
    <x v="0"/>
    <x v="0"/>
    <d v="2026-06-30T00:00:00"/>
    <n v="22223.200000000001"/>
  </r>
  <r>
    <x v="206"/>
    <d v="2025-03-13T00:00:00"/>
    <x v="2"/>
    <x v="2"/>
    <x v="1"/>
    <x v="1"/>
    <x v="2"/>
    <x v="2"/>
    <x v="1"/>
    <n v="533.01"/>
    <n v="5863.11"/>
    <x v="1"/>
    <x v="1"/>
    <d v="2026-02-15T00:00:00"/>
    <n v="5863.11"/>
  </r>
  <r>
    <x v="207"/>
    <d v="2025-03-13T00:00:00"/>
    <x v="2"/>
    <x v="1"/>
    <x v="1"/>
    <x v="3"/>
    <x v="1"/>
    <x v="0"/>
    <x v="7"/>
    <n v="961.78"/>
    <n v="15388.48"/>
    <x v="0"/>
    <x v="0"/>
    <d v="2026-06-30T00:00:00"/>
    <n v="15388.48"/>
  </r>
  <r>
    <x v="208"/>
    <d v="2025-03-13T00:00:00"/>
    <x v="2"/>
    <x v="2"/>
    <x v="2"/>
    <x v="0"/>
    <x v="2"/>
    <x v="1"/>
    <x v="14"/>
    <n v="455.52"/>
    <n v="2733.12"/>
    <x v="1"/>
    <x v="1"/>
    <d v="2025-09-16T00:00:00"/>
    <n v="2733.12"/>
  </r>
  <r>
    <x v="209"/>
    <d v="2025-03-13T00:00:00"/>
    <x v="2"/>
    <x v="1"/>
    <x v="2"/>
    <x v="3"/>
    <x v="2"/>
    <x v="0"/>
    <x v="4"/>
    <n v="949.21"/>
    <n v="7593.68"/>
    <x v="1"/>
    <x v="1"/>
    <d v="2025-11-25T00:00:00"/>
    <n v="7593.68"/>
  </r>
  <r>
    <x v="210"/>
    <d v="2025-03-14T00:00:00"/>
    <x v="2"/>
    <x v="2"/>
    <x v="1"/>
    <x v="0"/>
    <x v="2"/>
    <x v="0"/>
    <x v="14"/>
    <n v="466"/>
    <n v="2796"/>
    <x v="1"/>
    <x v="2"/>
    <d v="2025-09-13T00:00:00"/>
    <n v="2796"/>
  </r>
  <r>
    <x v="211"/>
    <d v="2025-03-14T00:00:00"/>
    <x v="2"/>
    <x v="1"/>
    <x v="1"/>
    <x v="3"/>
    <x v="2"/>
    <x v="1"/>
    <x v="7"/>
    <n v="869.68"/>
    <n v="13914.88"/>
    <x v="0"/>
    <x v="0"/>
    <d v="2026-06-30T00:00:00"/>
    <n v="13914.88"/>
  </r>
  <r>
    <x v="212"/>
    <d v="2025-03-14T00:00:00"/>
    <x v="2"/>
    <x v="1"/>
    <x v="1"/>
    <x v="0"/>
    <x v="2"/>
    <x v="3"/>
    <x v="4"/>
    <n v="821.2"/>
    <n v="6569.6"/>
    <x v="1"/>
    <x v="1"/>
    <d v="2025-11-24T00:00:00"/>
    <n v="6569.6"/>
  </r>
  <r>
    <x v="213"/>
    <d v="2025-03-15T00:00:00"/>
    <x v="2"/>
    <x v="2"/>
    <x v="0"/>
    <x v="1"/>
    <x v="2"/>
    <x v="2"/>
    <x v="7"/>
    <n v="484.87"/>
    <n v="7757.92"/>
    <x v="0"/>
    <x v="0"/>
    <d v="2026-06-30T00:00:00"/>
    <n v="7757.92"/>
  </r>
  <r>
    <x v="214"/>
    <d v="2025-03-15T00:00:00"/>
    <x v="2"/>
    <x v="0"/>
    <x v="2"/>
    <x v="1"/>
    <x v="2"/>
    <x v="2"/>
    <x v="5"/>
    <n v="1615.57"/>
    <n v="14540.13"/>
    <x v="1"/>
    <x v="1"/>
    <d v="2025-12-16T00:00:00"/>
    <n v="14540.13"/>
  </r>
  <r>
    <x v="215"/>
    <d v="2025-03-15T00:00:00"/>
    <x v="2"/>
    <x v="1"/>
    <x v="0"/>
    <x v="1"/>
    <x v="0"/>
    <x v="0"/>
    <x v="7"/>
    <n v="894.21"/>
    <n v="14307.36"/>
    <x v="0"/>
    <x v="0"/>
    <d v="2026-06-30T00:00:00"/>
    <n v="14307.36"/>
  </r>
  <r>
    <x v="216"/>
    <d v="2025-03-15T00:00:00"/>
    <x v="2"/>
    <x v="0"/>
    <x v="1"/>
    <x v="2"/>
    <x v="2"/>
    <x v="3"/>
    <x v="7"/>
    <n v="1364.57"/>
    <n v="21833.119999999999"/>
    <x v="0"/>
    <x v="0"/>
    <d v="2026-06-30T00:00:00"/>
    <n v="21833.119999999999"/>
  </r>
  <r>
    <x v="217"/>
    <d v="2025-03-15T00:00:00"/>
    <x v="2"/>
    <x v="2"/>
    <x v="2"/>
    <x v="0"/>
    <x v="2"/>
    <x v="0"/>
    <x v="7"/>
    <n v="506.04"/>
    <n v="8096.64"/>
    <x v="0"/>
    <x v="0"/>
    <d v="2026-06-30T00:00:00"/>
    <n v="8096.64"/>
  </r>
  <r>
    <x v="218"/>
    <d v="2025-03-15T00:00:00"/>
    <x v="2"/>
    <x v="1"/>
    <x v="1"/>
    <x v="0"/>
    <x v="0"/>
    <x v="1"/>
    <x v="7"/>
    <n v="950.42"/>
    <n v="15206.72"/>
    <x v="0"/>
    <x v="0"/>
    <d v="2026-06-30T00:00:00"/>
    <n v="15206.72"/>
  </r>
  <r>
    <x v="219"/>
    <d v="2025-03-18T00:00:00"/>
    <x v="2"/>
    <x v="2"/>
    <x v="0"/>
    <x v="1"/>
    <x v="2"/>
    <x v="1"/>
    <x v="10"/>
    <n v="484.24"/>
    <n v="7263.6"/>
    <x v="0"/>
    <x v="0"/>
    <d v="2026-06-30T00:00:00"/>
    <n v="7263.6"/>
  </r>
  <r>
    <x v="220"/>
    <d v="2025-03-20T00:00:00"/>
    <x v="2"/>
    <x v="0"/>
    <x v="1"/>
    <x v="3"/>
    <x v="2"/>
    <x v="0"/>
    <x v="10"/>
    <n v="1588.03"/>
    <n v="23820.45"/>
    <x v="0"/>
    <x v="0"/>
    <d v="2026-06-30T00:00:00"/>
    <n v="23820.45"/>
  </r>
  <r>
    <x v="221"/>
    <d v="2025-03-21T00:00:00"/>
    <x v="2"/>
    <x v="0"/>
    <x v="0"/>
    <x v="0"/>
    <x v="2"/>
    <x v="0"/>
    <x v="10"/>
    <n v="1349.82"/>
    <n v="20247.3"/>
    <x v="0"/>
    <x v="0"/>
    <d v="2026-06-30T00:00:00"/>
    <n v="20247.3"/>
  </r>
  <r>
    <x v="222"/>
    <d v="2025-03-21T00:00:00"/>
    <x v="2"/>
    <x v="2"/>
    <x v="2"/>
    <x v="1"/>
    <x v="1"/>
    <x v="1"/>
    <x v="10"/>
    <n v="475.71"/>
    <n v="7135.65"/>
    <x v="0"/>
    <x v="0"/>
    <d v="2026-06-30T00:00:00"/>
    <n v="7135.65"/>
  </r>
  <r>
    <x v="223"/>
    <d v="2025-03-23T00:00:00"/>
    <x v="2"/>
    <x v="1"/>
    <x v="3"/>
    <x v="1"/>
    <x v="0"/>
    <x v="0"/>
    <x v="6"/>
    <n v="925.25"/>
    <n v="12953.5"/>
    <x v="1"/>
    <x v="1"/>
    <d v="2026-05-12T00:00:00"/>
    <n v="12953.5"/>
  </r>
  <r>
    <x v="224"/>
    <d v="2025-03-24T00:00:00"/>
    <x v="2"/>
    <x v="1"/>
    <x v="1"/>
    <x v="1"/>
    <x v="0"/>
    <x v="0"/>
    <x v="10"/>
    <n v="817.27"/>
    <n v="12259.05"/>
    <x v="0"/>
    <x v="0"/>
    <d v="2026-06-30T00:00:00"/>
    <n v="12259.05"/>
  </r>
  <r>
    <x v="225"/>
    <d v="2025-03-24T00:00:00"/>
    <x v="2"/>
    <x v="1"/>
    <x v="0"/>
    <x v="3"/>
    <x v="2"/>
    <x v="0"/>
    <x v="10"/>
    <n v="930.78"/>
    <n v="13961.7"/>
    <x v="0"/>
    <x v="0"/>
    <d v="2026-06-30T00:00:00"/>
    <n v="13961.7"/>
  </r>
  <r>
    <x v="226"/>
    <d v="2025-03-24T00:00:00"/>
    <x v="2"/>
    <x v="1"/>
    <x v="1"/>
    <x v="0"/>
    <x v="2"/>
    <x v="0"/>
    <x v="10"/>
    <n v="960.39"/>
    <n v="14405.85"/>
    <x v="0"/>
    <x v="0"/>
    <d v="2026-06-30T00:00:00"/>
    <n v="14405.85"/>
  </r>
  <r>
    <x v="227"/>
    <d v="2025-03-25T00:00:00"/>
    <x v="2"/>
    <x v="0"/>
    <x v="1"/>
    <x v="2"/>
    <x v="2"/>
    <x v="2"/>
    <x v="10"/>
    <n v="1380.52"/>
    <n v="20707.8"/>
    <x v="0"/>
    <x v="0"/>
    <d v="2026-06-30T00:00:00"/>
    <n v="20707.8"/>
  </r>
  <r>
    <x v="228"/>
    <d v="2025-03-25T00:00:00"/>
    <x v="2"/>
    <x v="1"/>
    <x v="2"/>
    <x v="1"/>
    <x v="2"/>
    <x v="2"/>
    <x v="10"/>
    <n v="896.61"/>
    <n v="13449.15"/>
    <x v="0"/>
    <x v="0"/>
    <d v="2026-06-30T00:00:00"/>
    <n v="13449.15"/>
  </r>
  <r>
    <x v="229"/>
    <d v="2025-03-26T00:00:00"/>
    <x v="2"/>
    <x v="0"/>
    <x v="3"/>
    <x v="1"/>
    <x v="2"/>
    <x v="0"/>
    <x v="10"/>
    <n v="1458.88"/>
    <n v="21883.200000000001"/>
    <x v="0"/>
    <x v="0"/>
    <d v="2026-06-30T00:00:00"/>
    <n v="21883.200000000001"/>
  </r>
  <r>
    <x v="230"/>
    <d v="2025-03-26T00:00:00"/>
    <x v="2"/>
    <x v="2"/>
    <x v="1"/>
    <x v="3"/>
    <x v="2"/>
    <x v="0"/>
    <x v="10"/>
    <n v="464.91"/>
    <n v="6973.65"/>
    <x v="0"/>
    <x v="0"/>
    <d v="2026-06-30T00:00:00"/>
    <n v="6973.65"/>
  </r>
  <r>
    <x v="231"/>
    <d v="2025-03-26T00:00:00"/>
    <x v="2"/>
    <x v="1"/>
    <x v="2"/>
    <x v="1"/>
    <x v="2"/>
    <x v="0"/>
    <x v="10"/>
    <n v="866.25"/>
    <n v="12993.75"/>
    <x v="0"/>
    <x v="0"/>
    <d v="2026-06-30T00:00:00"/>
    <n v="12993.75"/>
  </r>
  <r>
    <x v="232"/>
    <d v="2025-03-27T00:00:00"/>
    <x v="2"/>
    <x v="1"/>
    <x v="1"/>
    <x v="3"/>
    <x v="2"/>
    <x v="0"/>
    <x v="12"/>
    <n v="981.15"/>
    <n v="6868.05"/>
    <x v="1"/>
    <x v="1"/>
    <d v="2025-11-09T00:00:00"/>
    <n v="6868.05"/>
  </r>
  <r>
    <x v="233"/>
    <d v="2025-03-27T00:00:00"/>
    <x v="2"/>
    <x v="1"/>
    <x v="0"/>
    <x v="3"/>
    <x v="2"/>
    <x v="0"/>
    <x v="12"/>
    <n v="823.71"/>
    <n v="5765.97"/>
    <x v="1"/>
    <x v="3"/>
    <d v="2025-11-02T00:00:00"/>
    <n v="5765.97"/>
  </r>
  <r>
    <x v="234"/>
    <d v="2025-03-28T00:00:00"/>
    <x v="2"/>
    <x v="1"/>
    <x v="2"/>
    <x v="1"/>
    <x v="2"/>
    <x v="0"/>
    <x v="5"/>
    <n v="932.57"/>
    <n v="8393.1299999999992"/>
    <x v="1"/>
    <x v="4"/>
    <d v="2025-12-19T00:00:00"/>
    <n v="8393.1299999999992"/>
  </r>
  <r>
    <x v="235"/>
    <d v="2025-03-28T00:00:00"/>
    <x v="2"/>
    <x v="1"/>
    <x v="0"/>
    <x v="3"/>
    <x v="2"/>
    <x v="0"/>
    <x v="10"/>
    <n v="963.23"/>
    <n v="14448.45"/>
    <x v="0"/>
    <x v="0"/>
    <d v="2026-06-30T00:00:00"/>
    <n v="14448.45"/>
  </r>
  <r>
    <x v="236"/>
    <d v="2025-03-28T00:00:00"/>
    <x v="2"/>
    <x v="1"/>
    <x v="3"/>
    <x v="1"/>
    <x v="1"/>
    <x v="0"/>
    <x v="10"/>
    <n v="844.25"/>
    <n v="12663.75"/>
    <x v="0"/>
    <x v="0"/>
    <d v="2026-06-30T00:00:00"/>
    <n v="12663.75"/>
  </r>
  <r>
    <x v="237"/>
    <d v="2025-03-28T00:00:00"/>
    <x v="2"/>
    <x v="0"/>
    <x v="3"/>
    <x v="1"/>
    <x v="0"/>
    <x v="2"/>
    <x v="10"/>
    <n v="1609.93"/>
    <n v="24148.95"/>
    <x v="0"/>
    <x v="0"/>
    <d v="2026-06-30T00:00:00"/>
    <n v="24148.95"/>
  </r>
  <r>
    <x v="238"/>
    <d v="2025-03-29T00:00:00"/>
    <x v="2"/>
    <x v="2"/>
    <x v="2"/>
    <x v="1"/>
    <x v="2"/>
    <x v="2"/>
    <x v="10"/>
    <n v="492.33"/>
    <n v="7384.95"/>
    <x v="0"/>
    <x v="0"/>
    <d v="2026-06-30T00:00:00"/>
    <n v="7384.95"/>
  </r>
  <r>
    <x v="239"/>
    <d v="2025-03-29T00:00:00"/>
    <x v="2"/>
    <x v="1"/>
    <x v="1"/>
    <x v="2"/>
    <x v="0"/>
    <x v="2"/>
    <x v="10"/>
    <n v="973.66"/>
    <n v="14604.9"/>
    <x v="0"/>
    <x v="0"/>
    <d v="2026-06-30T00:00:00"/>
    <n v="14604.9"/>
  </r>
  <r>
    <x v="240"/>
    <d v="2025-03-29T00:00:00"/>
    <x v="2"/>
    <x v="2"/>
    <x v="2"/>
    <x v="3"/>
    <x v="0"/>
    <x v="0"/>
    <x v="10"/>
    <n v="510.6"/>
    <n v="7659"/>
    <x v="0"/>
    <x v="0"/>
    <d v="2026-06-30T00:00:00"/>
    <n v="7659"/>
  </r>
  <r>
    <x v="241"/>
    <d v="2025-03-29T00:00:00"/>
    <x v="2"/>
    <x v="1"/>
    <x v="1"/>
    <x v="1"/>
    <x v="1"/>
    <x v="1"/>
    <x v="10"/>
    <n v="981.28"/>
    <n v="14719.2"/>
    <x v="0"/>
    <x v="0"/>
    <d v="2026-06-30T00:00:00"/>
    <n v="14719.2"/>
  </r>
  <r>
    <x v="242"/>
    <d v="2025-03-29T00:00:00"/>
    <x v="2"/>
    <x v="1"/>
    <x v="0"/>
    <x v="1"/>
    <x v="2"/>
    <x v="0"/>
    <x v="10"/>
    <n v="981.67"/>
    <n v="14725.05"/>
    <x v="0"/>
    <x v="0"/>
    <d v="2026-06-30T00:00:00"/>
    <n v="14725.05"/>
  </r>
  <r>
    <x v="243"/>
    <d v="2025-03-29T00:00:00"/>
    <x v="2"/>
    <x v="1"/>
    <x v="2"/>
    <x v="1"/>
    <x v="2"/>
    <x v="1"/>
    <x v="10"/>
    <n v="947.43"/>
    <n v="14211.45"/>
    <x v="0"/>
    <x v="0"/>
    <d v="2026-06-30T00:00:00"/>
    <n v="14211.45"/>
  </r>
  <r>
    <x v="244"/>
    <d v="2025-03-31T00:00:00"/>
    <x v="2"/>
    <x v="0"/>
    <x v="1"/>
    <x v="1"/>
    <x v="2"/>
    <x v="0"/>
    <x v="13"/>
    <n v="1355.26"/>
    <n v="1355.26"/>
    <x v="1"/>
    <x v="5"/>
    <d v="2025-05-02T00:00:00"/>
    <n v="1355.26"/>
  </r>
  <r>
    <x v="245"/>
    <d v="2025-03-31T00:00:00"/>
    <x v="2"/>
    <x v="2"/>
    <x v="0"/>
    <x v="2"/>
    <x v="2"/>
    <x v="2"/>
    <x v="10"/>
    <n v="501.36"/>
    <n v="7520.4"/>
    <x v="0"/>
    <x v="0"/>
    <d v="2026-06-30T00:00:00"/>
    <n v="7520.4"/>
  </r>
  <r>
    <x v="246"/>
    <d v="2025-03-31T00:00:00"/>
    <x v="2"/>
    <x v="1"/>
    <x v="2"/>
    <x v="4"/>
    <x v="2"/>
    <x v="1"/>
    <x v="12"/>
    <n v="887.64"/>
    <n v="6213.48"/>
    <x v="1"/>
    <x v="1"/>
    <d v="2025-10-25T00:00:00"/>
    <n v="6213.48"/>
  </r>
  <r>
    <x v="247"/>
    <d v="2025-03-31T00:00:00"/>
    <x v="2"/>
    <x v="1"/>
    <x v="2"/>
    <x v="0"/>
    <x v="1"/>
    <x v="2"/>
    <x v="10"/>
    <n v="868.11"/>
    <n v="13021.65"/>
    <x v="0"/>
    <x v="0"/>
    <d v="2026-06-30T00:00:00"/>
    <n v="13021.65"/>
  </r>
  <r>
    <x v="248"/>
    <d v="2025-03-31T00:00:00"/>
    <x v="2"/>
    <x v="2"/>
    <x v="3"/>
    <x v="3"/>
    <x v="2"/>
    <x v="2"/>
    <x v="16"/>
    <n v="509.54"/>
    <n v="1528.62"/>
    <x v="1"/>
    <x v="3"/>
    <d v="2025-06-17T00:00:00"/>
    <n v="1528.62"/>
  </r>
  <r>
    <x v="249"/>
    <d v="2025-04-01T00:00:00"/>
    <x v="3"/>
    <x v="1"/>
    <x v="3"/>
    <x v="2"/>
    <x v="2"/>
    <x v="3"/>
    <x v="10"/>
    <n v="823.51"/>
    <n v="12352.65"/>
    <x v="0"/>
    <x v="0"/>
    <d v="2026-06-30T00:00:00"/>
    <n v="12352.65"/>
  </r>
  <r>
    <x v="250"/>
    <d v="2025-04-01T00:00:00"/>
    <x v="3"/>
    <x v="2"/>
    <x v="1"/>
    <x v="2"/>
    <x v="2"/>
    <x v="2"/>
    <x v="11"/>
    <n v="534.34"/>
    <n v="2671.7"/>
    <x v="1"/>
    <x v="3"/>
    <d v="2025-08-17T00:00:00"/>
    <n v="2671.7"/>
  </r>
  <r>
    <x v="251"/>
    <d v="2025-04-02T00:00:00"/>
    <x v="3"/>
    <x v="2"/>
    <x v="1"/>
    <x v="2"/>
    <x v="2"/>
    <x v="2"/>
    <x v="10"/>
    <n v="487.69"/>
    <n v="7315.35"/>
    <x v="0"/>
    <x v="0"/>
    <d v="2026-06-30T00:00:00"/>
    <n v="7315.35"/>
  </r>
  <r>
    <x v="252"/>
    <d v="2025-04-02T00:00:00"/>
    <x v="3"/>
    <x v="1"/>
    <x v="3"/>
    <x v="1"/>
    <x v="0"/>
    <x v="0"/>
    <x v="10"/>
    <n v="849.77"/>
    <n v="12746.55"/>
    <x v="0"/>
    <x v="0"/>
    <d v="2026-06-30T00:00:00"/>
    <n v="12746.55"/>
  </r>
  <r>
    <x v="253"/>
    <d v="2025-04-02T00:00:00"/>
    <x v="3"/>
    <x v="1"/>
    <x v="3"/>
    <x v="2"/>
    <x v="2"/>
    <x v="0"/>
    <x v="8"/>
    <n v="957.87"/>
    <n v="9578.7000000000007"/>
    <x v="1"/>
    <x v="1"/>
    <d v="2026-02-04T00:00:00"/>
    <n v="9578.7000000000007"/>
  </r>
  <r>
    <x v="254"/>
    <d v="2025-04-03T00:00:00"/>
    <x v="3"/>
    <x v="0"/>
    <x v="1"/>
    <x v="2"/>
    <x v="2"/>
    <x v="0"/>
    <x v="10"/>
    <n v="1612.33"/>
    <n v="24184.95"/>
    <x v="0"/>
    <x v="0"/>
    <d v="2026-06-30T00:00:00"/>
    <n v="24184.95"/>
  </r>
  <r>
    <x v="255"/>
    <d v="2025-04-03T00:00:00"/>
    <x v="3"/>
    <x v="2"/>
    <x v="0"/>
    <x v="1"/>
    <x v="2"/>
    <x v="3"/>
    <x v="10"/>
    <n v="490.58"/>
    <n v="7358.7"/>
    <x v="0"/>
    <x v="0"/>
    <d v="2026-06-30T00:00:00"/>
    <n v="7358.7"/>
  </r>
  <r>
    <x v="256"/>
    <d v="2025-04-04T00:00:00"/>
    <x v="3"/>
    <x v="2"/>
    <x v="2"/>
    <x v="4"/>
    <x v="0"/>
    <x v="2"/>
    <x v="10"/>
    <n v="459.99"/>
    <n v="6899.85"/>
    <x v="0"/>
    <x v="0"/>
    <d v="2026-06-30T00:00:00"/>
    <n v="6899.85"/>
  </r>
  <r>
    <x v="257"/>
    <d v="2025-04-04T00:00:00"/>
    <x v="3"/>
    <x v="0"/>
    <x v="2"/>
    <x v="0"/>
    <x v="2"/>
    <x v="0"/>
    <x v="16"/>
    <n v="1615.68"/>
    <n v="4847.04"/>
    <x v="1"/>
    <x v="3"/>
    <d v="2025-07-14T00:00:00"/>
    <n v="4847.04"/>
  </r>
  <r>
    <x v="258"/>
    <d v="2025-04-06T00:00:00"/>
    <x v="3"/>
    <x v="0"/>
    <x v="0"/>
    <x v="4"/>
    <x v="0"/>
    <x v="1"/>
    <x v="12"/>
    <n v="1580.63"/>
    <n v="11064.41"/>
    <x v="1"/>
    <x v="2"/>
    <d v="2025-10-26T00:00:00"/>
    <n v="11064.41"/>
  </r>
  <r>
    <x v="259"/>
    <d v="2025-04-06T00:00:00"/>
    <x v="3"/>
    <x v="1"/>
    <x v="2"/>
    <x v="2"/>
    <x v="2"/>
    <x v="0"/>
    <x v="5"/>
    <n v="859.63"/>
    <n v="7736.67"/>
    <x v="1"/>
    <x v="2"/>
    <d v="2025-12-25T00:00:00"/>
    <n v="7736.67"/>
  </r>
  <r>
    <x v="260"/>
    <d v="2025-04-07T00:00:00"/>
    <x v="3"/>
    <x v="1"/>
    <x v="3"/>
    <x v="1"/>
    <x v="2"/>
    <x v="0"/>
    <x v="10"/>
    <n v="819.46"/>
    <n v="12291.9"/>
    <x v="0"/>
    <x v="0"/>
    <d v="2026-06-30T00:00:00"/>
    <n v="12291.9"/>
  </r>
  <r>
    <x v="261"/>
    <d v="2025-04-08T00:00:00"/>
    <x v="3"/>
    <x v="1"/>
    <x v="1"/>
    <x v="0"/>
    <x v="0"/>
    <x v="1"/>
    <x v="10"/>
    <n v="832.8"/>
    <n v="12492"/>
    <x v="0"/>
    <x v="0"/>
    <d v="2026-06-30T00:00:00"/>
    <n v="12492"/>
  </r>
  <r>
    <x v="262"/>
    <d v="2025-04-08T00:00:00"/>
    <x v="3"/>
    <x v="1"/>
    <x v="3"/>
    <x v="1"/>
    <x v="2"/>
    <x v="0"/>
    <x v="10"/>
    <n v="883.64"/>
    <n v="13254.6"/>
    <x v="0"/>
    <x v="0"/>
    <d v="2026-06-30T00:00:00"/>
    <n v="13254.6"/>
  </r>
  <r>
    <x v="263"/>
    <d v="2025-04-08T00:00:00"/>
    <x v="3"/>
    <x v="1"/>
    <x v="1"/>
    <x v="2"/>
    <x v="2"/>
    <x v="0"/>
    <x v="10"/>
    <n v="933.29"/>
    <n v="13999.35"/>
    <x v="0"/>
    <x v="0"/>
    <d v="2026-06-30T00:00:00"/>
    <n v="13999.35"/>
  </r>
  <r>
    <x v="264"/>
    <d v="2025-04-09T00:00:00"/>
    <x v="3"/>
    <x v="0"/>
    <x v="3"/>
    <x v="1"/>
    <x v="2"/>
    <x v="0"/>
    <x v="10"/>
    <n v="1573.93"/>
    <n v="23608.95"/>
    <x v="0"/>
    <x v="0"/>
    <d v="2026-06-30T00:00:00"/>
    <n v="23608.95"/>
  </r>
  <r>
    <x v="265"/>
    <d v="2025-04-09T00:00:00"/>
    <x v="3"/>
    <x v="1"/>
    <x v="1"/>
    <x v="2"/>
    <x v="2"/>
    <x v="1"/>
    <x v="16"/>
    <n v="949.85"/>
    <n v="2849.55"/>
    <x v="1"/>
    <x v="2"/>
    <d v="2025-07-21T00:00:00"/>
    <n v="2849.55"/>
  </r>
  <r>
    <x v="266"/>
    <d v="2025-04-09T00:00:00"/>
    <x v="3"/>
    <x v="2"/>
    <x v="1"/>
    <x v="1"/>
    <x v="2"/>
    <x v="3"/>
    <x v="6"/>
    <n v="469.22"/>
    <n v="6569.08"/>
    <x v="1"/>
    <x v="1"/>
    <d v="2026-06-19T00:00:00"/>
    <n v="6569.08"/>
  </r>
  <r>
    <x v="267"/>
    <d v="2025-04-09T00:00:00"/>
    <x v="3"/>
    <x v="2"/>
    <x v="1"/>
    <x v="1"/>
    <x v="2"/>
    <x v="0"/>
    <x v="10"/>
    <n v="528.11"/>
    <n v="7921.65"/>
    <x v="0"/>
    <x v="0"/>
    <d v="2026-06-30T00:00:00"/>
    <n v="7921.65"/>
  </r>
  <r>
    <x v="268"/>
    <d v="2025-04-10T00:00:00"/>
    <x v="3"/>
    <x v="2"/>
    <x v="0"/>
    <x v="1"/>
    <x v="0"/>
    <x v="0"/>
    <x v="10"/>
    <n v="468.89"/>
    <n v="7033.35"/>
    <x v="0"/>
    <x v="0"/>
    <d v="2026-06-30T00:00:00"/>
    <n v="7033.35"/>
  </r>
  <r>
    <x v="269"/>
    <d v="2025-04-11T00:00:00"/>
    <x v="3"/>
    <x v="2"/>
    <x v="1"/>
    <x v="2"/>
    <x v="2"/>
    <x v="0"/>
    <x v="10"/>
    <n v="548.45000000000005"/>
    <n v="8226.75"/>
    <x v="0"/>
    <x v="0"/>
    <d v="2026-06-30T00:00:00"/>
    <n v="8226.75"/>
  </r>
  <r>
    <x v="270"/>
    <d v="2025-04-11T00:00:00"/>
    <x v="3"/>
    <x v="2"/>
    <x v="2"/>
    <x v="0"/>
    <x v="0"/>
    <x v="2"/>
    <x v="17"/>
    <n v="527.34"/>
    <n v="6855.42"/>
    <x v="1"/>
    <x v="2"/>
    <d v="2026-05-13T00:00:00"/>
    <n v="6855.42"/>
  </r>
  <r>
    <x v="271"/>
    <d v="2025-04-11T00:00:00"/>
    <x v="3"/>
    <x v="1"/>
    <x v="1"/>
    <x v="2"/>
    <x v="2"/>
    <x v="0"/>
    <x v="10"/>
    <n v="820.06"/>
    <n v="12300.9"/>
    <x v="0"/>
    <x v="0"/>
    <d v="2026-06-30T00:00:00"/>
    <n v="12300.9"/>
  </r>
  <r>
    <x v="272"/>
    <d v="2025-04-12T00:00:00"/>
    <x v="3"/>
    <x v="1"/>
    <x v="1"/>
    <x v="3"/>
    <x v="0"/>
    <x v="3"/>
    <x v="10"/>
    <n v="817.57"/>
    <n v="12263.55"/>
    <x v="0"/>
    <x v="0"/>
    <d v="2026-06-30T00:00:00"/>
    <n v="12263.55"/>
  </r>
  <r>
    <x v="273"/>
    <d v="2025-04-12T00:00:00"/>
    <x v="3"/>
    <x v="2"/>
    <x v="2"/>
    <x v="3"/>
    <x v="2"/>
    <x v="2"/>
    <x v="10"/>
    <n v="525.01"/>
    <n v="7875.15"/>
    <x v="0"/>
    <x v="0"/>
    <d v="2026-06-30T00:00:00"/>
    <n v="7875.15"/>
  </r>
  <r>
    <x v="274"/>
    <d v="2025-04-12T00:00:00"/>
    <x v="3"/>
    <x v="2"/>
    <x v="0"/>
    <x v="2"/>
    <x v="2"/>
    <x v="0"/>
    <x v="10"/>
    <n v="485.97"/>
    <n v="7289.55"/>
    <x v="0"/>
    <x v="0"/>
    <d v="2026-06-30T00:00:00"/>
    <n v="7289.55"/>
  </r>
  <r>
    <x v="275"/>
    <d v="2025-04-12T00:00:00"/>
    <x v="3"/>
    <x v="0"/>
    <x v="3"/>
    <x v="0"/>
    <x v="0"/>
    <x v="0"/>
    <x v="10"/>
    <n v="1507.7"/>
    <n v="22615.5"/>
    <x v="0"/>
    <x v="0"/>
    <d v="2026-06-30T00:00:00"/>
    <n v="22615.5"/>
  </r>
  <r>
    <x v="276"/>
    <d v="2025-04-13T00:00:00"/>
    <x v="3"/>
    <x v="0"/>
    <x v="1"/>
    <x v="1"/>
    <x v="2"/>
    <x v="1"/>
    <x v="10"/>
    <n v="1482.48"/>
    <n v="22237.200000000001"/>
    <x v="0"/>
    <x v="0"/>
    <d v="2026-06-30T00:00:00"/>
    <n v="22237.200000000001"/>
  </r>
  <r>
    <x v="277"/>
    <d v="2025-04-13T00:00:00"/>
    <x v="3"/>
    <x v="1"/>
    <x v="1"/>
    <x v="2"/>
    <x v="2"/>
    <x v="3"/>
    <x v="1"/>
    <n v="937.93"/>
    <n v="10317.23"/>
    <x v="1"/>
    <x v="2"/>
    <d v="2026-03-16T00:00:00"/>
    <n v="10317.23"/>
  </r>
  <r>
    <x v="278"/>
    <d v="2025-04-13T00:00:00"/>
    <x v="3"/>
    <x v="2"/>
    <x v="1"/>
    <x v="0"/>
    <x v="2"/>
    <x v="3"/>
    <x v="10"/>
    <n v="501.91"/>
    <n v="7528.65"/>
    <x v="0"/>
    <x v="0"/>
    <d v="2026-06-30T00:00:00"/>
    <n v="7528.65"/>
  </r>
  <r>
    <x v="279"/>
    <d v="2025-04-14T00:00:00"/>
    <x v="3"/>
    <x v="0"/>
    <x v="2"/>
    <x v="1"/>
    <x v="2"/>
    <x v="2"/>
    <x v="1"/>
    <n v="1355.29"/>
    <n v="14908.19"/>
    <x v="1"/>
    <x v="5"/>
    <d v="2026-03-17T00:00:00"/>
    <n v="14908.19"/>
  </r>
  <r>
    <x v="280"/>
    <d v="2025-04-14T00:00:00"/>
    <x v="3"/>
    <x v="1"/>
    <x v="1"/>
    <x v="3"/>
    <x v="2"/>
    <x v="2"/>
    <x v="10"/>
    <n v="811.41"/>
    <n v="12171.15"/>
    <x v="0"/>
    <x v="0"/>
    <d v="2026-06-30T00:00:00"/>
    <n v="12171.15"/>
  </r>
  <r>
    <x v="281"/>
    <d v="2025-04-14T00:00:00"/>
    <x v="3"/>
    <x v="1"/>
    <x v="2"/>
    <x v="0"/>
    <x v="2"/>
    <x v="1"/>
    <x v="10"/>
    <n v="927.69"/>
    <n v="13915.35"/>
    <x v="0"/>
    <x v="0"/>
    <d v="2026-06-30T00:00:00"/>
    <n v="13915.35"/>
  </r>
  <r>
    <x v="282"/>
    <d v="2025-04-14T00:00:00"/>
    <x v="3"/>
    <x v="2"/>
    <x v="1"/>
    <x v="0"/>
    <x v="0"/>
    <x v="2"/>
    <x v="10"/>
    <n v="464.34"/>
    <n v="6965.1"/>
    <x v="0"/>
    <x v="0"/>
    <d v="2026-06-30T00:00:00"/>
    <n v="6965.1"/>
  </r>
  <r>
    <x v="283"/>
    <d v="2025-04-15T00:00:00"/>
    <x v="3"/>
    <x v="2"/>
    <x v="3"/>
    <x v="3"/>
    <x v="2"/>
    <x v="1"/>
    <x v="6"/>
    <n v="514.16999999999996"/>
    <n v="7198.38"/>
    <x v="0"/>
    <x v="0"/>
    <d v="2026-06-30T00:00:00"/>
    <n v="7198.38"/>
  </r>
  <r>
    <x v="284"/>
    <d v="2025-04-16T00:00:00"/>
    <x v="3"/>
    <x v="0"/>
    <x v="3"/>
    <x v="0"/>
    <x v="2"/>
    <x v="3"/>
    <x v="6"/>
    <n v="1499.26"/>
    <n v="20989.64"/>
    <x v="0"/>
    <x v="0"/>
    <d v="2026-06-30T00:00:00"/>
    <n v="20989.64"/>
  </r>
  <r>
    <x v="285"/>
    <d v="2025-04-16T00:00:00"/>
    <x v="3"/>
    <x v="2"/>
    <x v="1"/>
    <x v="1"/>
    <x v="2"/>
    <x v="0"/>
    <x v="6"/>
    <n v="536.23"/>
    <n v="7507.22"/>
    <x v="0"/>
    <x v="0"/>
    <d v="2026-06-30T00:00:00"/>
    <n v="7507.22"/>
  </r>
  <r>
    <x v="286"/>
    <d v="2025-04-16T00:00:00"/>
    <x v="3"/>
    <x v="1"/>
    <x v="1"/>
    <x v="1"/>
    <x v="2"/>
    <x v="0"/>
    <x v="6"/>
    <n v="976.58"/>
    <n v="13672.12"/>
    <x v="1"/>
    <x v="1"/>
    <d v="2026-06-10T00:00:00"/>
    <n v="13672.12"/>
  </r>
  <r>
    <x v="287"/>
    <d v="2025-04-16T00:00:00"/>
    <x v="3"/>
    <x v="0"/>
    <x v="2"/>
    <x v="0"/>
    <x v="2"/>
    <x v="2"/>
    <x v="6"/>
    <n v="1520.57"/>
    <n v="21287.98"/>
    <x v="0"/>
    <x v="0"/>
    <d v="2026-06-30T00:00:00"/>
    <n v="21287.98"/>
  </r>
  <r>
    <x v="288"/>
    <d v="2025-04-16T00:00:00"/>
    <x v="3"/>
    <x v="2"/>
    <x v="0"/>
    <x v="4"/>
    <x v="1"/>
    <x v="3"/>
    <x v="6"/>
    <n v="512.33000000000004"/>
    <n v="7172.62"/>
    <x v="0"/>
    <x v="0"/>
    <d v="2026-06-30T00:00:00"/>
    <n v="7172.62"/>
  </r>
  <r>
    <x v="289"/>
    <d v="2025-04-16T00:00:00"/>
    <x v="3"/>
    <x v="0"/>
    <x v="2"/>
    <x v="0"/>
    <x v="0"/>
    <x v="3"/>
    <x v="6"/>
    <n v="1431.13"/>
    <n v="20035.82"/>
    <x v="0"/>
    <x v="0"/>
    <d v="2026-06-30T00:00:00"/>
    <n v="20035.82"/>
  </r>
  <r>
    <x v="290"/>
    <d v="2025-04-17T00:00:00"/>
    <x v="3"/>
    <x v="1"/>
    <x v="2"/>
    <x v="1"/>
    <x v="0"/>
    <x v="2"/>
    <x v="6"/>
    <n v="868.94"/>
    <n v="12165.16"/>
    <x v="0"/>
    <x v="0"/>
    <d v="2026-06-30T00:00:00"/>
    <n v="12165.16"/>
  </r>
  <r>
    <x v="291"/>
    <d v="2025-04-18T00:00:00"/>
    <x v="3"/>
    <x v="1"/>
    <x v="1"/>
    <x v="4"/>
    <x v="2"/>
    <x v="2"/>
    <x v="6"/>
    <n v="952.22"/>
    <n v="13331.08"/>
    <x v="0"/>
    <x v="0"/>
    <d v="2026-06-30T00:00:00"/>
    <n v="13331.08"/>
  </r>
  <r>
    <x v="292"/>
    <d v="2025-04-18T00:00:00"/>
    <x v="3"/>
    <x v="2"/>
    <x v="1"/>
    <x v="3"/>
    <x v="2"/>
    <x v="0"/>
    <x v="6"/>
    <n v="485.07"/>
    <n v="6790.98"/>
    <x v="0"/>
    <x v="0"/>
    <d v="2026-06-30T00:00:00"/>
    <n v="6790.98"/>
  </r>
  <r>
    <x v="293"/>
    <d v="2025-04-18T00:00:00"/>
    <x v="3"/>
    <x v="2"/>
    <x v="2"/>
    <x v="1"/>
    <x v="1"/>
    <x v="2"/>
    <x v="6"/>
    <n v="529.07000000000005"/>
    <n v="7406.98"/>
    <x v="0"/>
    <x v="0"/>
    <d v="2026-06-30T00:00:00"/>
    <n v="7406.98"/>
  </r>
  <r>
    <x v="294"/>
    <d v="2025-04-19T00:00:00"/>
    <x v="3"/>
    <x v="1"/>
    <x v="0"/>
    <x v="2"/>
    <x v="0"/>
    <x v="0"/>
    <x v="6"/>
    <n v="843.36"/>
    <n v="11807.04"/>
    <x v="0"/>
    <x v="0"/>
    <d v="2026-06-30T00:00:00"/>
    <n v="11807.04"/>
  </r>
  <r>
    <x v="295"/>
    <d v="2025-04-19T00:00:00"/>
    <x v="3"/>
    <x v="2"/>
    <x v="2"/>
    <x v="2"/>
    <x v="0"/>
    <x v="3"/>
    <x v="6"/>
    <n v="535.80999999999995"/>
    <n v="7501.34"/>
    <x v="0"/>
    <x v="0"/>
    <d v="2026-06-30T00:00:00"/>
    <n v="7501.34"/>
  </r>
  <r>
    <x v="296"/>
    <d v="2025-04-20T00:00:00"/>
    <x v="3"/>
    <x v="2"/>
    <x v="1"/>
    <x v="2"/>
    <x v="2"/>
    <x v="3"/>
    <x v="6"/>
    <n v="523.41999999999996"/>
    <n v="7327.88"/>
    <x v="0"/>
    <x v="0"/>
    <d v="2026-06-30T00:00:00"/>
    <n v="7327.88"/>
  </r>
  <r>
    <x v="297"/>
    <d v="2025-04-20T00:00:00"/>
    <x v="3"/>
    <x v="2"/>
    <x v="0"/>
    <x v="3"/>
    <x v="2"/>
    <x v="1"/>
    <x v="6"/>
    <n v="488.52"/>
    <n v="6839.28"/>
    <x v="1"/>
    <x v="4"/>
    <d v="2026-06-26T00:00:00"/>
    <n v="6839.28"/>
  </r>
  <r>
    <x v="298"/>
    <d v="2025-04-20T00:00:00"/>
    <x v="3"/>
    <x v="0"/>
    <x v="2"/>
    <x v="3"/>
    <x v="2"/>
    <x v="1"/>
    <x v="6"/>
    <n v="1356.2"/>
    <n v="18986.8"/>
    <x v="0"/>
    <x v="0"/>
    <d v="2026-06-30T00:00:00"/>
    <n v="18986.8"/>
  </r>
  <r>
    <x v="299"/>
    <d v="2025-04-20T00:00:00"/>
    <x v="3"/>
    <x v="0"/>
    <x v="2"/>
    <x v="1"/>
    <x v="2"/>
    <x v="0"/>
    <x v="6"/>
    <n v="1527.28"/>
    <n v="21381.919999999998"/>
    <x v="0"/>
    <x v="0"/>
    <d v="2026-06-30T00:00:00"/>
    <n v="21381.919999999998"/>
  </r>
  <r>
    <x v="300"/>
    <d v="2025-04-20T00:00:00"/>
    <x v="3"/>
    <x v="0"/>
    <x v="2"/>
    <x v="1"/>
    <x v="1"/>
    <x v="2"/>
    <x v="6"/>
    <n v="1469.48"/>
    <n v="20572.72"/>
    <x v="0"/>
    <x v="0"/>
    <d v="2026-06-30T00:00:00"/>
    <n v="20572.72"/>
  </r>
  <r>
    <x v="301"/>
    <d v="2025-04-21T00:00:00"/>
    <x v="3"/>
    <x v="1"/>
    <x v="2"/>
    <x v="0"/>
    <x v="2"/>
    <x v="1"/>
    <x v="6"/>
    <n v="969.49"/>
    <n v="13572.86"/>
    <x v="0"/>
    <x v="0"/>
    <d v="2026-06-30T00:00:00"/>
    <n v="13572.86"/>
  </r>
  <r>
    <x v="302"/>
    <d v="2025-04-21T00:00:00"/>
    <x v="3"/>
    <x v="1"/>
    <x v="0"/>
    <x v="1"/>
    <x v="0"/>
    <x v="2"/>
    <x v="6"/>
    <n v="898.92"/>
    <n v="12584.88"/>
    <x v="0"/>
    <x v="0"/>
    <d v="2026-06-30T00:00:00"/>
    <n v="12584.88"/>
  </r>
  <r>
    <x v="303"/>
    <d v="2025-04-21T00:00:00"/>
    <x v="3"/>
    <x v="1"/>
    <x v="1"/>
    <x v="1"/>
    <x v="0"/>
    <x v="0"/>
    <x v="6"/>
    <n v="935.91"/>
    <n v="13102.74"/>
    <x v="0"/>
    <x v="0"/>
    <d v="2026-06-30T00:00:00"/>
    <n v="13102.74"/>
  </r>
  <r>
    <x v="304"/>
    <d v="2025-04-21T00:00:00"/>
    <x v="3"/>
    <x v="2"/>
    <x v="2"/>
    <x v="1"/>
    <x v="2"/>
    <x v="0"/>
    <x v="8"/>
    <n v="515.84"/>
    <n v="5158.3999999999996"/>
    <x v="1"/>
    <x v="2"/>
    <d v="2026-02-22T00:00:00"/>
    <n v="5158.3999999999996"/>
  </r>
  <r>
    <x v="305"/>
    <d v="2025-04-22T00:00:00"/>
    <x v="3"/>
    <x v="1"/>
    <x v="0"/>
    <x v="0"/>
    <x v="1"/>
    <x v="2"/>
    <x v="6"/>
    <n v="860.28"/>
    <n v="12043.92"/>
    <x v="0"/>
    <x v="0"/>
    <d v="2026-06-30T00:00:00"/>
    <n v="12043.92"/>
  </r>
  <r>
    <x v="306"/>
    <d v="2025-04-22T00:00:00"/>
    <x v="3"/>
    <x v="2"/>
    <x v="1"/>
    <x v="3"/>
    <x v="0"/>
    <x v="0"/>
    <x v="6"/>
    <n v="537.08000000000004"/>
    <n v="7519.12"/>
    <x v="0"/>
    <x v="0"/>
    <d v="2026-06-30T00:00:00"/>
    <n v="7519.12"/>
  </r>
  <r>
    <x v="307"/>
    <d v="2025-04-23T00:00:00"/>
    <x v="3"/>
    <x v="1"/>
    <x v="2"/>
    <x v="0"/>
    <x v="0"/>
    <x v="0"/>
    <x v="6"/>
    <n v="973.45"/>
    <n v="13628.3"/>
    <x v="0"/>
    <x v="0"/>
    <d v="2026-06-30T00:00:00"/>
    <n v="13628.3"/>
  </r>
  <r>
    <x v="308"/>
    <d v="2025-04-24T00:00:00"/>
    <x v="3"/>
    <x v="1"/>
    <x v="2"/>
    <x v="1"/>
    <x v="2"/>
    <x v="1"/>
    <x v="11"/>
    <n v="868.95"/>
    <n v="4344.75"/>
    <x v="1"/>
    <x v="1"/>
    <d v="2025-09-30T00:00:00"/>
    <n v="4344.75"/>
  </r>
  <r>
    <x v="309"/>
    <d v="2025-04-24T00:00:00"/>
    <x v="3"/>
    <x v="2"/>
    <x v="2"/>
    <x v="2"/>
    <x v="1"/>
    <x v="2"/>
    <x v="6"/>
    <n v="536.03"/>
    <n v="7504.42"/>
    <x v="0"/>
    <x v="0"/>
    <d v="2026-06-30T00:00:00"/>
    <n v="7504.42"/>
  </r>
  <r>
    <x v="310"/>
    <d v="2025-04-24T00:00:00"/>
    <x v="3"/>
    <x v="1"/>
    <x v="1"/>
    <x v="1"/>
    <x v="2"/>
    <x v="1"/>
    <x v="6"/>
    <n v="820.09"/>
    <n v="11481.26"/>
    <x v="0"/>
    <x v="0"/>
    <d v="2026-06-30T00:00:00"/>
    <n v="11481.26"/>
  </r>
  <r>
    <x v="311"/>
    <d v="2025-04-25T00:00:00"/>
    <x v="3"/>
    <x v="0"/>
    <x v="2"/>
    <x v="3"/>
    <x v="2"/>
    <x v="0"/>
    <x v="6"/>
    <n v="1533.85"/>
    <n v="21473.9"/>
    <x v="0"/>
    <x v="0"/>
    <d v="2026-06-30T00:00:00"/>
    <n v="21473.9"/>
  </r>
  <r>
    <x v="312"/>
    <d v="2025-04-25T00:00:00"/>
    <x v="3"/>
    <x v="2"/>
    <x v="2"/>
    <x v="1"/>
    <x v="2"/>
    <x v="3"/>
    <x v="6"/>
    <n v="478.5"/>
    <n v="6699"/>
    <x v="0"/>
    <x v="0"/>
    <d v="2026-06-30T00:00:00"/>
    <n v="6699"/>
  </r>
  <r>
    <x v="313"/>
    <d v="2025-04-25T00:00:00"/>
    <x v="3"/>
    <x v="1"/>
    <x v="1"/>
    <x v="1"/>
    <x v="2"/>
    <x v="2"/>
    <x v="6"/>
    <n v="819.36"/>
    <n v="11471.04"/>
    <x v="0"/>
    <x v="0"/>
    <d v="2026-06-30T00:00:00"/>
    <n v="11471.04"/>
  </r>
  <r>
    <x v="314"/>
    <d v="2025-04-25T00:00:00"/>
    <x v="3"/>
    <x v="2"/>
    <x v="2"/>
    <x v="3"/>
    <x v="2"/>
    <x v="0"/>
    <x v="9"/>
    <n v="545.26"/>
    <n v="1090.52"/>
    <x v="1"/>
    <x v="1"/>
    <d v="2025-06-13T00:00:00"/>
    <n v="1090.52"/>
  </r>
  <r>
    <x v="315"/>
    <d v="2025-04-26T00:00:00"/>
    <x v="3"/>
    <x v="2"/>
    <x v="2"/>
    <x v="1"/>
    <x v="0"/>
    <x v="0"/>
    <x v="8"/>
    <n v="522.54999999999995"/>
    <n v="5225.5"/>
    <x v="1"/>
    <x v="5"/>
    <d v="2026-03-09T00:00:00"/>
    <n v="5225.5"/>
  </r>
  <r>
    <x v="316"/>
    <d v="2025-04-26T00:00:00"/>
    <x v="3"/>
    <x v="1"/>
    <x v="1"/>
    <x v="0"/>
    <x v="2"/>
    <x v="0"/>
    <x v="6"/>
    <n v="859.24"/>
    <n v="12029.36"/>
    <x v="0"/>
    <x v="0"/>
    <d v="2026-06-30T00:00:00"/>
    <n v="12029.36"/>
  </r>
  <r>
    <x v="317"/>
    <d v="2025-04-26T00:00:00"/>
    <x v="3"/>
    <x v="1"/>
    <x v="2"/>
    <x v="1"/>
    <x v="1"/>
    <x v="2"/>
    <x v="6"/>
    <n v="820.35"/>
    <n v="11484.9"/>
    <x v="0"/>
    <x v="0"/>
    <d v="2026-06-30T00:00:00"/>
    <n v="11484.9"/>
  </r>
  <r>
    <x v="318"/>
    <d v="2025-04-26T00:00:00"/>
    <x v="3"/>
    <x v="1"/>
    <x v="0"/>
    <x v="3"/>
    <x v="2"/>
    <x v="0"/>
    <x v="9"/>
    <n v="927.6"/>
    <n v="1855.2"/>
    <x v="1"/>
    <x v="1"/>
    <d v="2025-06-23T00:00:00"/>
    <n v="1855.2"/>
  </r>
  <r>
    <x v="319"/>
    <d v="2025-04-26T00:00:00"/>
    <x v="3"/>
    <x v="1"/>
    <x v="1"/>
    <x v="0"/>
    <x v="2"/>
    <x v="0"/>
    <x v="8"/>
    <n v="937.75"/>
    <n v="9377.5"/>
    <x v="1"/>
    <x v="5"/>
    <d v="2026-03-06T00:00:00"/>
    <n v="9377.5"/>
  </r>
  <r>
    <x v="320"/>
    <d v="2025-04-26T00:00:00"/>
    <x v="3"/>
    <x v="0"/>
    <x v="2"/>
    <x v="1"/>
    <x v="2"/>
    <x v="0"/>
    <x v="6"/>
    <n v="1502.78"/>
    <n v="21038.92"/>
    <x v="0"/>
    <x v="0"/>
    <d v="2026-06-30T00:00:00"/>
    <n v="21038.92"/>
  </r>
  <r>
    <x v="321"/>
    <d v="2025-04-27T00:00:00"/>
    <x v="3"/>
    <x v="2"/>
    <x v="0"/>
    <x v="2"/>
    <x v="0"/>
    <x v="0"/>
    <x v="6"/>
    <n v="462.91"/>
    <n v="6480.74"/>
    <x v="0"/>
    <x v="0"/>
    <d v="2026-06-30T00:00:00"/>
    <n v="6480.74"/>
  </r>
  <r>
    <x v="322"/>
    <d v="2025-04-27T00:00:00"/>
    <x v="3"/>
    <x v="1"/>
    <x v="2"/>
    <x v="1"/>
    <x v="0"/>
    <x v="2"/>
    <x v="6"/>
    <n v="959.89"/>
    <n v="13438.46"/>
    <x v="1"/>
    <x v="2"/>
    <d v="2026-06-29T00:00:00"/>
    <n v="13438.46"/>
  </r>
  <r>
    <x v="323"/>
    <d v="2025-04-27T00:00:00"/>
    <x v="3"/>
    <x v="2"/>
    <x v="0"/>
    <x v="3"/>
    <x v="2"/>
    <x v="0"/>
    <x v="6"/>
    <n v="471.58"/>
    <n v="6602.12"/>
    <x v="0"/>
    <x v="0"/>
    <d v="2026-06-30T00:00:00"/>
    <n v="6602.12"/>
  </r>
  <r>
    <x v="324"/>
    <d v="2025-04-28T00:00:00"/>
    <x v="3"/>
    <x v="2"/>
    <x v="3"/>
    <x v="1"/>
    <x v="0"/>
    <x v="1"/>
    <x v="6"/>
    <n v="518.54999999999995"/>
    <n v="7259.7"/>
    <x v="0"/>
    <x v="0"/>
    <d v="2026-06-30T00:00:00"/>
    <n v="7259.7"/>
  </r>
  <r>
    <x v="325"/>
    <d v="2025-04-28T00:00:00"/>
    <x v="3"/>
    <x v="2"/>
    <x v="0"/>
    <x v="1"/>
    <x v="0"/>
    <x v="0"/>
    <x v="6"/>
    <n v="546.88"/>
    <n v="7656.32"/>
    <x v="0"/>
    <x v="0"/>
    <d v="2026-06-30T00:00:00"/>
    <n v="7656.32"/>
  </r>
  <r>
    <x v="326"/>
    <d v="2025-04-28T00:00:00"/>
    <x v="3"/>
    <x v="1"/>
    <x v="3"/>
    <x v="1"/>
    <x v="2"/>
    <x v="3"/>
    <x v="6"/>
    <n v="983.95"/>
    <n v="13775.3"/>
    <x v="0"/>
    <x v="0"/>
    <d v="2026-06-30T00:00:00"/>
    <n v="13775.3"/>
  </r>
  <r>
    <x v="327"/>
    <d v="2025-04-28T00:00:00"/>
    <x v="3"/>
    <x v="0"/>
    <x v="0"/>
    <x v="4"/>
    <x v="2"/>
    <x v="1"/>
    <x v="6"/>
    <n v="1426.19"/>
    <n v="19966.66"/>
    <x v="0"/>
    <x v="0"/>
    <d v="2026-06-30T00:00:00"/>
    <n v="19966.66"/>
  </r>
  <r>
    <x v="328"/>
    <d v="2025-04-29T00:00:00"/>
    <x v="3"/>
    <x v="1"/>
    <x v="2"/>
    <x v="1"/>
    <x v="0"/>
    <x v="1"/>
    <x v="6"/>
    <n v="853.53"/>
    <n v="11949.42"/>
    <x v="0"/>
    <x v="0"/>
    <d v="2026-06-30T00:00:00"/>
    <n v="11949.42"/>
  </r>
  <r>
    <x v="329"/>
    <d v="2025-04-30T00:00:00"/>
    <x v="3"/>
    <x v="1"/>
    <x v="0"/>
    <x v="4"/>
    <x v="0"/>
    <x v="0"/>
    <x v="6"/>
    <n v="924.39"/>
    <n v="12941.46"/>
    <x v="0"/>
    <x v="0"/>
    <d v="2026-06-30T00:00:00"/>
    <n v="12941.46"/>
  </r>
  <r>
    <x v="330"/>
    <d v="2025-04-30T00:00:00"/>
    <x v="3"/>
    <x v="2"/>
    <x v="3"/>
    <x v="0"/>
    <x v="2"/>
    <x v="1"/>
    <x v="6"/>
    <n v="513.99"/>
    <n v="7195.86"/>
    <x v="0"/>
    <x v="0"/>
    <d v="2026-06-30T00:00:00"/>
    <n v="7195.86"/>
  </r>
  <r>
    <x v="331"/>
    <d v="2025-05-01T00:00:00"/>
    <x v="4"/>
    <x v="0"/>
    <x v="0"/>
    <x v="0"/>
    <x v="0"/>
    <x v="1"/>
    <x v="6"/>
    <n v="1643.57"/>
    <n v="23009.98"/>
    <x v="0"/>
    <x v="0"/>
    <d v="2026-06-30T00:00:00"/>
    <n v="23009.98"/>
  </r>
  <r>
    <x v="332"/>
    <d v="2025-05-01T00:00:00"/>
    <x v="4"/>
    <x v="1"/>
    <x v="0"/>
    <x v="2"/>
    <x v="0"/>
    <x v="2"/>
    <x v="6"/>
    <n v="944.47"/>
    <n v="13222.58"/>
    <x v="0"/>
    <x v="0"/>
    <d v="2026-06-30T00:00:00"/>
    <n v="13222.58"/>
  </r>
  <r>
    <x v="333"/>
    <d v="2025-05-02T00:00:00"/>
    <x v="4"/>
    <x v="2"/>
    <x v="0"/>
    <x v="4"/>
    <x v="2"/>
    <x v="3"/>
    <x v="6"/>
    <n v="460.5"/>
    <n v="6447"/>
    <x v="0"/>
    <x v="0"/>
    <d v="2026-06-30T00:00:00"/>
    <n v="6447"/>
  </r>
  <r>
    <x v="334"/>
    <d v="2025-05-02T00:00:00"/>
    <x v="4"/>
    <x v="1"/>
    <x v="1"/>
    <x v="1"/>
    <x v="0"/>
    <x v="0"/>
    <x v="6"/>
    <n v="929.33"/>
    <n v="13010.62"/>
    <x v="0"/>
    <x v="0"/>
    <d v="2026-06-30T00:00:00"/>
    <n v="13010.62"/>
  </r>
  <r>
    <x v="335"/>
    <d v="2025-05-02T00:00:00"/>
    <x v="4"/>
    <x v="2"/>
    <x v="1"/>
    <x v="2"/>
    <x v="2"/>
    <x v="2"/>
    <x v="6"/>
    <n v="453.36"/>
    <n v="6347.04"/>
    <x v="0"/>
    <x v="0"/>
    <d v="2026-06-30T00:00:00"/>
    <n v="6347.04"/>
  </r>
  <r>
    <x v="336"/>
    <d v="2025-05-03T00:00:00"/>
    <x v="4"/>
    <x v="1"/>
    <x v="1"/>
    <x v="0"/>
    <x v="2"/>
    <x v="2"/>
    <x v="6"/>
    <n v="923.65"/>
    <n v="12931.1"/>
    <x v="0"/>
    <x v="0"/>
    <d v="2026-06-30T00:00:00"/>
    <n v="12931.1"/>
  </r>
  <r>
    <x v="337"/>
    <d v="2025-05-03T00:00:00"/>
    <x v="4"/>
    <x v="2"/>
    <x v="1"/>
    <x v="0"/>
    <x v="2"/>
    <x v="3"/>
    <x v="14"/>
    <n v="514.69000000000005"/>
    <n v="3088.14"/>
    <x v="1"/>
    <x v="5"/>
    <d v="2025-11-08T00:00:00"/>
    <n v="3088.14"/>
  </r>
  <r>
    <x v="338"/>
    <d v="2025-05-04T00:00:00"/>
    <x v="4"/>
    <x v="1"/>
    <x v="3"/>
    <x v="1"/>
    <x v="2"/>
    <x v="2"/>
    <x v="6"/>
    <n v="962.67"/>
    <n v="13477.38"/>
    <x v="0"/>
    <x v="0"/>
    <d v="2026-06-30T00:00:00"/>
    <n v="13477.38"/>
  </r>
  <r>
    <x v="339"/>
    <d v="2025-05-04T00:00:00"/>
    <x v="4"/>
    <x v="1"/>
    <x v="1"/>
    <x v="0"/>
    <x v="2"/>
    <x v="2"/>
    <x v="6"/>
    <n v="853.15"/>
    <n v="11944.1"/>
    <x v="0"/>
    <x v="0"/>
    <d v="2026-06-30T00:00:00"/>
    <n v="11944.1"/>
  </r>
  <r>
    <x v="340"/>
    <d v="2025-05-06T00:00:00"/>
    <x v="4"/>
    <x v="2"/>
    <x v="3"/>
    <x v="0"/>
    <x v="2"/>
    <x v="0"/>
    <x v="6"/>
    <n v="475.15"/>
    <n v="6652.1"/>
    <x v="0"/>
    <x v="0"/>
    <d v="2026-06-30T00:00:00"/>
    <n v="6652.1"/>
  </r>
  <r>
    <x v="341"/>
    <d v="2025-05-06T00:00:00"/>
    <x v="4"/>
    <x v="1"/>
    <x v="1"/>
    <x v="3"/>
    <x v="2"/>
    <x v="0"/>
    <x v="6"/>
    <n v="831.38"/>
    <n v="11639.32"/>
    <x v="0"/>
    <x v="0"/>
    <d v="2026-06-30T00:00:00"/>
    <n v="11639.32"/>
  </r>
  <r>
    <x v="342"/>
    <d v="2025-05-07T00:00:00"/>
    <x v="4"/>
    <x v="2"/>
    <x v="1"/>
    <x v="0"/>
    <x v="2"/>
    <x v="2"/>
    <x v="6"/>
    <n v="510.61"/>
    <n v="7148.54"/>
    <x v="0"/>
    <x v="0"/>
    <d v="2026-06-30T00:00:00"/>
    <n v="7148.54"/>
  </r>
  <r>
    <x v="343"/>
    <d v="2025-05-07T00:00:00"/>
    <x v="4"/>
    <x v="1"/>
    <x v="1"/>
    <x v="3"/>
    <x v="0"/>
    <x v="0"/>
    <x v="6"/>
    <n v="817.75"/>
    <n v="11448.5"/>
    <x v="0"/>
    <x v="0"/>
    <d v="2026-06-30T00:00:00"/>
    <n v="11448.5"/>
  </r>
  <r>
    <x v="344"/>
    <d v="2025-05-09T00:00:00"/>
    <x v="4"/>
    <x v="1"/>
    <x v="1"/>
    <x v="4"/>
    <x v="0"/>
    <x v="2"/>
    <x v="6"/>
    <n v="853.48"/>
    <n v="11948.72"/>
    <x v="0"/>
    <x v="0"/>
    <d v="2026-06-30T00:00:00"/>
    <n v="11948.72"/>
  </r>
  <r>
    <x v="345"/>
    <d v="2025-05-10T00:00:00"/>
    <x v="4"/>
    <x v="0"/>
    <x v="1"/>
    <x v="1"/>
    <x v="2"/>
    <x v="2"/>
    <x v="6"/>
    <n v="1528.95"/>
    <n v="21405.3"/>
    <x v="0"/>
    <x v="0"/>
    <d v="2026-06-30T00:00:00"/>
    <n v="21405.3"/>
  </r>
  <r>
    <x v="346"/>
    <d v="2025-05-11T00:00:00"/>
    <x v="4"/>
    <x v="0"/>
    <x v="0"/>
    <x v="1"/>
    <x v="2"/>
    <x v="3"/>
    <x v="6"/>
    <n v="1642.6"/>
    <n v="22996.400000000001"/>
    <x v="0"/>
    <x v="0"/>
    <d v="2026-06-30T00:00:00"/>
    <n v="22996.400000000001"/>
  </r>
  <r>
    <x v="347"/>
    <d v="2025-05-12T00:00:00"/>
    <x v="4"/>
    <x v="1"/>
    <x v="2"/>
    <x v="1"/>
    <x v="0"/>
    <x v="0"/>
    <x v="6"/>
    <n v="890.6"/>
    <n v="12468.4"/>
    <x v="0"/>
    <x v="0"/>
    <d v="2026-06-30T00:00:00"/>
    <n v="12468.4"/>
  </r>
  <r>
    <x v="348"/>
    <d v="2025-05-12T00:00:00"/>
    <x v="4"/>
    <x v="1"/>
    <x v="1"/>
    <x v="3"/>
    <x v="2"/>
    <x v="0"/>
    <x v="6"/>
    <n v="893.97"/>
    <n v="12515.58"/>
    <x v="0"/>
    <x v="0"/>
    <d v="2026-06-30T00:00:00"/>
    <n v="12515.58"/>
  </r>
  <r>
    <x v="349"/>
    <d v="2025-05-13T00:00:00"/>
    <x v="4"/>
    <x v="2"/>
    <x v="1"/>
    <x v="0"/>
    <x v="2"/>
    <x v="0"/>
    <x v="6"/>
    <n v="484.05"/>
    <n v="6776.7"/>
    <x v="0"/>
    <x v="0"/>
    <d v="2026-06-30T00:00:00"/>
    <n v="6776.7"/>
  </r>
  <r>
    <x v="350"/>
    <d v="2025-05-13T00:00:00"/>
    <x v="4"/>
    <x v="1"/>
    <x v="2"/>
    <x v="4"/>
    <x v="2"/>
    <x v="2"/>
    <x v="6"/>
    <n v="883.52"/>
    <n v="12369.28"/>
    <x v="0"/>
    <x v="0"/>
    <d v="2026-06-30T00:00:00"/>
    <n v="12369.28"/>
  </r>
  <r>
    <x v="351"/>
    <d v="2025-05-13T00:00:00"/>
    <x v="4"/>
    <x v="2"/>
    <x v="1"/>
    <x v="0"/>
    <x v="2"/>
    <x v="2"/>
    <x v="6"/>
    <n v="458.2"/>
    <n v="6414.8"/>
    <x v="0"/>
    <x v="0"/>
    <d v="2026-06-30T00:00:00"/>
    <n v="6414.8"/>
  </r>
  <r>
    <x v="352"/>
    <d v="2025-05-13T00:00:00"/>
    <x v="4"/>
    <x v="2"/>
    <x v="0"/>
    <x v="4"/>
    <x v="2"/>
    <x v="1"/>
    <x v="6"/>
    <n v="534.49"/>
    <n v="7482.86"/>
    <x v="0"/>
    <x v="0"/>
    <d v="2026-06-30T00:00:00"/>
    <n v="7482.86"/>
  </r>
  <r>
    <x v="353"/>
    <d v="2025-05-14T00:00:00"/>
    <x v="4"/>
    <x v="0"/>
    <x v="3"/>
    <x v="3"/>
    <x v="1"/>
    <x v="0"/>
    <x v="8"/>
    <n v="1379.44"/>
    <n v="13794.4"/>
    <x v="1"/>
    <x v="1"/>
    <d v="2026-03-08T00:00:00"/>
    <n v="13794.4"/>
  </r>
  <r>
    <x v="354"/>
    <d v="2025-05-14T00:00:00"/>
    <x v="4"/>
    <x v="2"/>
    <x v="3"/>
    <x v="0"/>
    <x v="0"/>
    <x v="3"/>
    <x v="8"/>
    <n v="531.29999999999995"/>
    <n v="5313"/>
    <x v="1"/>
    <x v="2"/>
    <d v="2026-03-13T00:00:00"/>
    <n v="5313"/>
  </r>
  <r>
    <x v="355"/>
    <d v="2025-05-14T00:00:00"/>
    <x v="4"/>
    <x v="0"/>
    <x v="1"/>
    <x v="4"/>
    <x v="1"/>
    <x v="3"/>
    <x v="6"/>
    <n v="1384.07"/>
    <n v="19376.98"/>
    <x v="0"/>
    <x v="0"/>
    <d v="2026-06-30T00:00:00"/>
    <n v="19376.98"/>
  </r>
  <r>
    <x v="356"/>
    <d v="2025-05-15T00:00:00"/>
    <x v="4"/>
    <x v="2"/>
    <x v="2"/>
    <x v="0"/>
    <x v="2"/>
    <x v="2"/>
    <x v="8"/>
    <n v="500.77"/>
    <n v="5007.7"/>
    <x v="1"/>
    <x v="2"/>
    <d v="2026-03-17T00:00:00"/>
    <n v="5007.7"/>
  </r>
  <r>
    <x v="357"/>
    <d v="2025-05-15T00:00:00"/>
    <x v="4"/>
    <x v="1"/>
    <x v="1"/>
    <x v="2"/>
    <x v="2"/>
    <x v="0"/>
    <x v="6"/>
    <n v="810.07"/>
    <n v="11340.98"/>
    <x v="0"/>
    <x v="0"/>
    <d v="2026-06-30T00:00:00"/>
    <n v="11340.98"/>
  </r>
  <r>
    <x v="358"/>
    <d v="2025-05-16T00:00:00"/>
    <x v="4"/>
    <x v="2"/>
    <x v="1"/>
    <x v="2"/>
    <x v="2"/>
    <x v="0"/>
    <x v="17"/>
    <n v="464.69"/>
    <n v="6040.97"/>
    <x v="0"/>
    <x v="0"/>
    <d v="2026-06-30T00:00:00"/>
    <n v="6040.97"/>
  </r>
  <r>
    <x v="359"/>
    <d v="2025-05-16T00:00:00"/>
    <x v="4"/>
    <x v="1"/>
    <x v="2"/>
    <x v="0"/>
    <x v="0"/>
    <x v="0"/>
    <x v="17"/>
    <n v="853.97"/>
    <n v="11101.61"/>
    <x v="0"/>
    <x v="0"/>
    <d v="2026-06-30T00:00:00"/>
    <n v="11101.61"/>
  </r>
  <r>
    <x v="360"/>
    <d v="2025-05-16T00:00:00"/>
    <x v="4"/>
    <x v="1"/>
    <x v="3"/>
    <x v="1"/>
    <x v="0"/>
    <x v="0"/>
    <x v="17"/>
    <n v="862.75"/>
    <n v="11215.75"/>
    <x v="0"/>
    <x v="0"/>
    <d v="2026-06-30T00:00:00"/>
    <n v="11215.75"/>
  </r>
  <r>
    <x v="361"/>
    <d v="2025-05-16T00:00:00"/>
    <x v="4"/>
    <x v="0"/>
    <x v="1"/>
    <x v="0"/>
    <x v="0"/>
    <x v="0"/>
    <x v="17"/>
    <n v="1543.7"/>
    <n v="20068.099999999999"/>
    <x v="0"/>
    <x v="0"/>
    <d v="2026-06-30T00:00:00"/>
    <n v="20068.099999999999"/>
  </r>
  <r>
    <x v="362"/>
    <d v="2025-05-17T00:00:00"/>
    <x v="4"/>
    <x v="2"/>
    <x v="1"/>
    <x v="1"/>
    <x v="2"/>
    <x v="2"/>
    <x v="17"/>
    <n v="530.53"/>
    <n v="6896.89"/>
    <x v="0"/>
    <x v="0"/>
    <d v="2026-06-30T00:00:00"/>
    <n v="6896.89"/>
  </r>
  <r>
    <x v="363"/>
    <d v="2025-05-17T00:00:00"/>
    <x v="4"/>
    <x v="1"/>
    <x v="3"/>
    <x v="1"/>
    <x v="2"/>
    <x v="2"/>
    <x v="17"/>
    <n v="836.96"/>
    <n v="10880.48"/>
    <x v="0"/>
    <x v="0"/>
    <d v="2026-06-30T00:00:00"/>
    <n v="10880.48"/>
  </r>
  <r>
    <x v="364"/>
    <d v="2025-05-17T00:00:00"/>
    <x v="4"/>
    <x v="2"/>
    <x v="2"/>
    <x v="4"/>
    <x v="2"/>
    <x v="0"/>
    <x v="17"/>
    <n v="501.34"/>
    <n v="6517.42"/>
    <x v="0"/>
    <x v="0"/>
    <d v="2026-06-30T00:00:00"/>
    <n v="6517.42"/>
  </r>
  <r>
    <x v="365"/>
    <d v="2025-05-18T00:00:00"/>
    <x v="4"/>
    <x v="0"/>
    <x v="2"/>
    <x v="0"/>
    <x v="0"/>
    <x v="0"/>
    <x v="11"/>
    <n v="1479.21"/>
    <n v="7396.05"/>
    <x v="1"/>
    <x v="5"/>
    <d v="2025-10-16T00:00:00"/>
    <n v="7396.05"/>
  </r>
  <r>
    <x v="366"/>
    <d v="2025-05-18T00:00:00"/>
    <x v="4"/>
    <x v="1"/>
    <x v="3"/>
    <x v="2"/>
    <x v="0"/>
    <x v="2"/>
    <x v="17"/>
    <n v="814.15"/>
    <n v="10583.95"/>
    <x v="0"/>
    <x v="0"/>
    <d v="2026-06-30T00:00:00"/>
    <n v="10583.95"/>
  </r>
  <r>
    <x v="367"/>
    <d v="2025-05-19T00:00:00"/>
    <x v="4"/>
    <x v="1"/>
    <x v="3"/>
    <x v="2"/>
    <x v="2"/>
    <x v="2"/>
    <x v="17"/>
    <n v="856.47"/>
    <n v="11134.11"/>
    <x v="0"/>
    <x v="0"/>
    <d v="2026-06-30T00:00:00"/>
    <n v="11134.11"/>
  </r>
  <r>
    <x v="368"/>
    <d v="2025-05-19T00:00:00"/>
    <x v="4"/>
    <x v="1"/>
    <x v="2"/>
    <x v="0"/>
    <x v="2"/>
    <x v="0"/>
    <x v="17"/>
    <n v="937.21"/>
    <n v="12183.73"/>
    <x v="0"/>
    <x v="0"/>
    <d v="2026-06-30T00:00:00"/>
    <n v="12183.73"/>
  </r>
  <r>
    <x v="369"/>
    <d v="2025-05-20T00:00:00"/>
    <x v="4"/>
    <x v="0"/>
    <x v="2"/>
    <x v="0"/>
    <x v="1"/>
    <x v="2"/>
    <x v="17"/>
    <n v="1407.64"/>
    <n v="18299.32"/>
    <x v="0"/>
    <x v="0"/>
    <d v="2026-06-30T00:00:00"/>
    <n v="18299.32"/>
  </r>
  <r>
    <x v="370"/>
    <d v="2025-05-20T00:00:00"/>
    <x v="4"/>
    <x v="0"/>
    <x v="0"/>
    <x v="1"/>
    <x v="2"/>
    <x v="2"/>
    <x v="17"/>
    <n v="1382.3"/>
    <n v="17969.900000000001"/>
    <x v="0"/>
    <x v="0"/>
    <d v="2026-06-30T00:00:00"/>
    <n v="17969.900000000001"/>
  </r>
  <r>
    <x v="371"/>
    <d v="2025-05-21T00:00:00"/>
    <x v="4"/>
    <x v="0"/>
    <x v="2"/>
    <x v="0"/>
    <x v="2"/>
    <x v="3"/>
    <x v="17"/>
    <n v="1634.52"/>
    <n v="21248.76"/>
    <x v="0"/>
    <x v="0"/>
    <d v="2026-06-30T00:00:00"/>
    <n v="21248.76"/>
  </r>
  <r>
    <x v="372"/>
    <d v="2025-05-22T00:00:00"/>
    <x v="4"/>
    <x v="1"/>
    <x v="2"/>
    <x v="2"/>
    <x v="2"/>
    <x v="0"/>
    <x v="17"/>
    <n v="810.8"/>
    <n v="10540.4"/>
    <x v="0"/>
    <x v="0"/>
    <d v="2026-06-30T00:00:00"/>
    <n v="10540.4"/>
  </r>
  <r>
    <x v="373"/>
    <d v="2025-05-23T00:00:00"/>
    <x v="4"/>
    <x v="2"/>
    <x v="2"/>
    <x v="0"/>
    <x v="1"/>
    <x v="0"/>
    <x v="12"/>
    <n v="483.97"/>
    <n v="3387.79"/>
    <x v="1"/>
    <x v="3"/>
    <d v="2025-12-07T00:00:00"/>
    <n v="3387.79"/>
  </r>
  <r>
    <x v="374"/>
    <d v="2025-05-24T00:00:00"/>
    <x v="4"/>
    <x v="2"/>
    <x v="1"/>
    <x v="2"/>
    <x v="0"/>
    <x v="2"/>
    <x v="14"/>
    <n v="503.49"/>
    <n v="3020.94"/>
    <x v="1"/>
    <x v="1"/>
    <d v="2025-11-22T00:00:00"/>
    <n v="3020.94"/>
  </r>
  <r>
    <x v="375"/>
    <d v="2025-05-26T00:00:00"/>
    <x v="4"/>
    <x v="2"/>
    <x v="1"/>
    <x v="2"/>
    <x v="2"/>
    <x v="0"/>
    <x v="17"/>
    <n v="532.54"/>
    <n v="6923.02"/>
    <x v="0"/>
    <x v="0"/>
    <d v="2026-06-30T00:00:00"/>
    <n v="6923.02"/>
  </r>
  <r>
    <x v="376"/>
    <d v="2025-05-27T00:00:00"/>
    <x v="4"/>
    <x v="2"/>
    <x v="2"/>
    <x v="4"/>
    <x v="2"/>
    <x v="0"/>
    <x v="17"/>
    <n v="496.21"/>
    <n v="6450.73"/>
    <x v="0"/>
    <x v="0"/>
    <d v="2026-06-30T00:00:00"/>
    <n v="6450.73"/>
  </r>
  <r>
    <x v="377"/>
    <d v="2025-05-27T00:00:00"/>
    <x v="4"/>
    <x v="0"/>
    <x v="1"/>
    <x v="4"/>
    <x v="2"/>
    <x v="1"/>
    <x v="17"/>
    <n v="1440.94"/>
    <n v="18732.22"/>
    <x v="0"/>
    <x v="0"/>
    <d v="2026-06-30T00:00:00"/>
    <n v="18732.22"/>
  </r>
  <r>
    <x v="378"/>
    <d v="2025-05-28T00:00:00"/>
    <x v="4"/>
    <x v="2"/>
    <x v="1"/>
    <x v="1"/>
    <x v="2"/>
    <x v="1"/>
    <x v="17"/>
    <n v="540.01"/>
    <n v="7020.13"/>
    <x v="0"/>
    <x v="0"/>
    <d v="2026-06-30T00:00:00"/>
    <n v="7020.13"/>
  </r>
  <r>
    <x v="379"/>
    <d v="2025-05-28T00:00:00"/>
    <x v="4"/>
    <x v="0"/>
    <x v="0"/>
    <x v="3"/>
    <x v="2"/>
    <x v="3"/>
    <x v="17"/>
    <n v="1377.81"/>
    <n v="17911.53"/>
    <x v="0"/>
    <x v="0"/>
    <d v="2026-06-30T00:00:00"/>
    <n v="17911.53"/>
  </r>
  <r>
    <x v="380"/>
    <d v="2025-05-29T00:00:00"/>
    <x v="4"/>
    <x v="1"/>
    <x v="0"/>
    <x v="3"/>
    <x v="2"/>
    <x v="0"/>
    <x v="17"/>
    <n v="938.46"/>
    <n v="12199.98"/>
    <x v="0"/>
    <x v="0"/>
    <d v="2026-06-30T00:00:00"/>
    <n v="12199.98"/>
  </r>
  <r>
    <x v="381"/>
    <d v="2025-05-29T00:00:00"/>
    <x v="4"/>
    <x v="2"/>
    <x v="1"/>
    <x v="1"/>
    <x v="0"/>
    <x v="0"/>
    <x v="17"/>
    <n v="462.08"/>
    <n v="6007.04"/>
    <x v="0"/>
    <x v="0"/>
    <d v="2026-06-30T00:00:00"/>
    <n v="6007.04"/>
  </r>
  <r>
    <x v="382"/>
    <d v="2025-05-30T00:00:00"/>
    <x v="4"/>
    <x v="2"/>
    <x v="0"/>
    <x v="1"/>
    <x v="0"/>
    <x v="2"/>
    <x v="15"/>
    <n v="501.83"/>
    <n v="6021.96"/>
    <x v="1"/>
    <x v="5"/>
    <d v="2026-06-07T00:00:00"/>
    <n v="6021.96"/>
  </r>
  <r>
    <x v="383"/>
    <d v="2025-05-30T00:00:00"/>
    <x v="4"/>
    <x v="1"/>
    <x v="0"/>
    <x v="3"/>
    <x v="2"/>
    <x v="0"/>
    <x v="17"/>
    <n v="941.94"/>
    <n v="12245.22"/>
    <x v="0"/>
    <x v="0"/>
    <d v="2026-06-30T00:00:00"/>
    <n v="12245.22"/>
  </r>
  <r>
    <x v="384"/>
    <d v="2025-05-30T00:00:00"/>
    <x v="4"/>
    <x v="1"/>
    <x v="0"/>
    <x v="0"/>
    <x v="1"/>
    <x v="0"/>
    <x v="17"/>
    <n v="976.81"/>
    <n v="12698.53"/>
    <x v="0"/>
    <x v="0"/>
    <d v="2026-06-30T00:00:00"/>
    <n v="12698.53"/>
  </r>
  <r>
    <x v="385"/>
    <d v="2025-05-30T00:00:00"/>
    <x v="4"/>
    <x v="0"/>
    <x v="3"/>
    <x v="2"/>
    <x v="2"/>
    <x v="1"/>
    <x v="17"/>
    <n v="1384.91"/>
    <n v="18003.830000000002"/>
    <x v="0"/>
    <x v="0"/>
    <d v="2026-06-30T00:00:00"/>
    <n v="18003.830000000002"/>
  </r>
  <r>
    <x v="386"/>
    <d v="2025-05-30T00:00:00"/>
    <x v="4"/>
    <x v="2"/>
    <x v="1"/>
    <x v="3"/>
    <x v="2"/>
    <x v="0"/>
    <x v="17"/>
    <n v="486.58"/>
    <n v="6325.54"/>
    <x v="0"/>
    <x v="0"/>
    <d v="2026-06-30T00:00:00"/>
    <n v="6325.54"/>
  </r>
  <r>
    <x v="387"/>
    <d v="2025-05-31T00:00:00"/>
    <x v="4"/>
    <x v="0"/>
    <x v="2"/>
    <x v="0"/>
    <x v="1"/>
    <x v="0"/>
    <x v="17"/>
    <n v="1637.57"/>
    <n v="21288.41"/>
    <x v="0"/>
    <x v="0"/>
    <d v="2026-06-30T00:00:00"/>
    <n v="21288.41"/>
  </r>
  <r>
    <x v="388"/>
    <d v="2025-05-31T00:00:00"/>
    <x v="4"/>
    <x v="1"/>
    <x v="0"/>
    <x v="0"/>
    <x v="2"/>
    <x v="0"/>
    <x v="17"/>
    <n v="876.76"/>
    <n v="11397.88"/>
    <x v="0"/>
    <x v="0"/>
    <d v="2026-06-30T00:00:00"/>
    <n v="11397.88"/>
  </r>
  <r>
    <x v="389"/>
    <d v="2025-05-31T00:00:00"/>
    <x v="4"/>
    <x v="1"/>
    <x v="2"/>
    <x v="3"/>
    <x v="0"/>
    <x v="0"/>
    <x v="17"/>
    <n v="937.27"/>
    <n v="12184.51"/>
    <x v="0"/>
    <x v="0"/>
    <d v="2026-06-30T00:00:00"/>
    <n v="12184.51"/>
  </r>
  <r>
    <x v="390"/>
    <d v="2025-06-01T00:00:00"/>
    <x v="5"/>
    <x v="1"/>
    <x v="2"/>
    <x v="4"/>
    <x v="0"/>
    <x v="0"/>
    <x v="12"/>
    <n v="818.15"/>
    <n v="5727.05"/>
    <x v="1"/>
    <x v="5"/>
    <d v="2026-01-10T00:00:00"/>
    <n v="5727.05"/>
  </r>
  <r>
    <x v="391"/>
    <d v="2025-06-01T00:00:00"/>
    <x v="5"/>
    <x v="1"/>
    <x v="2"/>
    <x v="1"/>
    <x v="0"/>
    <x v="2"/>
    <x v="17"/>
    <n v="980.63"/>
    <n v="12748.19"/>
    <x v="0"/>
    <x v="0"/>
    <d v="2026-06-30T00:00:00"/>
    <n v="12748.19"/>
  </r>
  <r>
    <x v="392"/>
    <d v="2025-06-02T00:00:00"/>
    <x v="5"/>
    <x v="2"/>
    <x v="3"/>
    <x v="1"/>
    <x v="2"/>
    <x v="0"/>
    <x v="17"/>
    <n v="509.7"/>
    <n v="6626.1"/>
    <x v="0"/>
    <x v="0"/>
    <d v="2026-06-30T00:00:00"/>
    <n v="6626.1"/>
  </r>
  <r>
    <x v="393"/>
    <d v="2025-06-02T00:00:00"/>
    <x v="5"/>
    <x v="2"/>
    <x v="1"/>
    <x v="0"/>
    <x v="2"/>
    <x v="0"/>
    <x v="17"/>
    <n v="480.08"/>
    <n v="6241.04"/>
    <x v="0"/>
    <x v="0"/>
    <d v="2026-06-30T00:00:00"/>
    <n v="6241.04"/>
  </r>
  <r>
    <x v="394"/>
    <d v="2025-06-02T00:00:00"/>
    <x v="5"/>
    <x v="2"/>
    <x v="1"/>
    <x v="2"/>
    <x v="2"/>
    <x v="2"/>
    <x v="17"/>
    <n v="505.14"/>
    <n v="6566.82"/>
    <x v="0"/>
    <x v="0"/>
    <d v="2026-06-30T00:00:00"/>
    <n v="6566.82"/>
  </r>
  <r>
    <x v="395"/>
    <d v="2025-06-02T00:00:00"/>
    <x v="5"/>
    <x v="1"/>
    <x v="2"/>
    <x v="4"/>
    <x v="2"/>
    <x v="3"/>
    <x v="17"/>
    <n v="893.01"/>
    <n v="11609.13"/>
    <x v="0"/>
    <x v="0"/>
    <d v="2026-06-30T00:00:00"/>
    <n v="11609.13"/>
  </r>
  <r>
    <x v="396"/>
    <d v="2025-06-02T00:00:00"/>
    <x v="5"/>
    <x v="2"/>
    <x v="2"/>
    <x v="3"/>
    <x v="0"/>
    <x v="0"/>
    <x v="17"/>
    <n v="471.4"/>
    <n v="6128.2"/>
    <x v="0"/>
    <x v="0"/>
    <d v="2026-06-30T00:00:00"/>
    <n v="6128.2"/>
  </r>
  <r>
    <x v="397"/>
    <d v="2025-06-02T00:00:00"/>
    <x v="5"/>
    <x v="2"/>
    <x v="1"/>
    <x v="1"/>
    <x v="2"/>
    <x v="2"/>
    <x v="17"/>
    <n v="483.2"/>
    <n v="6281.6"/>
    <x v="0"/>
    <x v="0"/>
    <d v="2026-06-30T00:00:00"/>
    <n v="6281.6"/>
  </r>
  <r>
    <x v="398"/>
    <d v="2025-06-02T00:00:00"/>
    <x v="5"/>
    <x v="2"/>
    <x v="3"/>
    <x v="0"/>
    <x v="2"/>
    <x v="2"/>
    <x v="13"/>
    <n v="470.05"/>
    <n v="470.05"/>
    <x v="1"/>
    <x v="3"/>
    <d v="2025-07-16T00:00:00"/>
    <n v="470.05"/>
  </r>
  <r>
    <x v="399"/>
    <d v="2025-06-02T00:00:00"/>
    <x v="5"/>
    <x v="1"/>
    <x v="0"/>
    <x v="2"/>
    <x v="2"/>
    <x v="3"/>
    <x v="16"/>
    <n v="897.19"/>
    <n v="2691.57"/>
    <x v="1"/>
    <x v="4"/>
    <d v="2025-09-11T00:00:00"/>
    <n v="2691.57"/>
  </r>
  <r>
    <x v="400"/>
    <d v="2025-06-04T00:00:00"/>
    <x v="5"/>
    <x v="2"/>
    <x v="2"/>
    <x v="0"/>
    <x v="2"/>
    <x v="2"/>
    <x v="17"/>
    <n v="470.07"/>
    <n v="6110.91"/>
    <x v="0"/>
    <x v="0"/>
    <d v="2026-06-30T00:00:00"/>
    <n v="6110.91"/>
  </r>
  <r>
    <x v="401"/>
    <d v="2025-06-05T00:00:00"/>
    <x v="5"/>
    <x v="2"/>
    <x v="2"/>
    <x v="2"/>
    <x v="2"/>
    <x v="2"/>
    <x v="17"/>
    <n v="530.82000000000005"/>
    <n v="6900.66"/>
    <x v="0"/>
    <x v="0"/>
    <d v="2026-06-30T00:00:00"/>
    <n v="6900.66"/>
  </r>
  <r>
    <x v="402"/>
    <d v="2025-06-06T00:00:00"/>
    <x v="5"/>
    <x v="0"/>
    <x v="0"/>
    <x v="2"/>
    <x v="0"/>
    <x v="0"/>
    <x v="17"/>
    <n v="1431.11"/>
    <n v="18604.43"/>
    <x v="0"/>
    <x v="0"/>
    <d v="2026-06-30T00:00:00"/>
    <n v="18604.43"/>
  </r>
  <r>
    <x v="403"/>
    <d v="2025-06-06T00:00:00"/>
    <x v="5"/>
    <x v="2"/>
    <x v="2"/>
    <x v="1"/>
    <x v="2"/>
    <x v="0"/>
    <x v="17"/>
    <n v="488.3"/>
    <n v="6347.9"/>
    <x v="0"/>
    <x v="0"/>
    <d v="2026-06-30T00:00:00"/>
    <n v="6347.9"/>
  </r>
  <r>
    <x v="404"/>
    <d v="2025-06-07T00:00:00"/>
    <x v="5"/>
    <x v="2"/>
    <x v="1"/>
    <x v="0"/>
    <x v="0"/>
    <x v="0"/>
    <x v="17"/>
    <n v="515.77"/>
    <n v="6705.01"/>
    <x v="0"/>
    <x v="0"/>
    <d v="2026-06-30T00:00:00"/>
    <n v="6705.01"/>
  </r>
  <r>
    <x v="405"/>
    <d v="2025-06-07T00:00:00"/>
    <x v="5"/>
    <x v="1"/>
    <x v="3"/>
    <x v="0"/>
    <x v="2"/>
    <x v="0"/>
    <x v="14"/>
    <n v="837.95"/>
    <n v="5027.7"/>
    <x v="1"/>
    <x v="4"/>
    <d v="2025-12-17T00:00:00"/>
    <n v="5027.7"/>
  </r>
  <r>
    <x v="406"/>
    <d v="2025-06-07T00:00:00"/>
    <x v="5"/>
    <x v="2"/>
    <x v="1"/>
    <x v="0"/>
    <x v="0"/>
    <x v="1"/>
    <x v="17"/>
    <n v="462.24"/>
    <n v="6009.12"/>
    <x v="0"/>
    <x v="0"/>
    <d v="2026-06-30T00:00:00"/>
    <n v="6009.12"/>
  </r>
  <r>
    <x v="407"/>
    <d v="2025-06-07T00:00:00"/>
    <x v="5"/>
    <x v="2"/>
    <x v="0"/>
    <x v="2"/>
    <x v="2"/>
    <x v="0"/>
    <x v="14"/>
    <n v="502.54"/>
    <n v="3015.24"/>
    <x v="1"/>
    <x v="2"/>
    <d v="2025-12-11T00:00:00"/>
    <n v="3015.24"/>
  </r>
  <r>
    <x v="408"/>
    <d v="2025-06-08T00:00:00"/>
    <x v="5"/>
    <x v="1"/>
    <x v="1"/>
    <x v="1"/>
    <x v="1"/>
    <x v="2"/>
    <x v="17"/>
    <n v="819.16"/>
    <n v="10649.08"/>
    <x v="0"/>
    <x v="0"/>
    <d v="2026-06-30T00:00:00"/>
    <n v="10649.08"/>
  </r>
  <r>
    <x v="409"/>
    <d v="2025-06-08T00:00:00"/>
    <x v="5"/>
    <x v="2"/>
    <x v="3"/>
    <x v="2"/>
    <x v="2"/>
    <x v="0"/>
    <x v="12"/>
    <n v="521.47"/>
    <n v="3650.29"/>
    <x v="1"/>
    <x v="4"/>
    <d v="2026-01-17T00:00:00"/>
    <n v="3650.29"/>
  </r>
  <r>
    <x v="410"/>
    <d v="2025-06-08T00:00:00"/>
    <x v="5"/>
    <x v="1"/>
    <x v="0"/>
    <x v="0"/>
    <x v="2"/>
    <x v="2"/>
    <x v="17"/>
    <n v="857.2"/>
    <n v="11143.6"/>
    <x v="0"/>
    <x v="0"/>
    <d v="2026-06-30T00:00:00"/>
    <n v="11143.6"/>
  </r>
  <r>
    <x v="411"/>
    <d v="2025-06-08T00:00:00"/>
    <x v="5"/>
    <x v="0"/>
    <x v="0"/>
    <x v="1"/>
    <x v="2"/>
    <x v="0"/>
    <x v="17"/>
    <n v="1424.43"/>
    <n v="18517.59"/>
    <x v="0"/>
    <x v="0"/>
    <d v="2026-06-30T00:00:00"/>
    <n v="18517.59"/>
  </r>
  <r>
    <x v="412"/>
    <d v="2025-06-08T00:00:00"/>
    <x v="5"/>
    <x v="1"/>
    <x v="0"/>
    <x v="1"/>
    <x v="0"/>
    <x v="0"/>
    <x v="17"/>
    <n v="966.41"/>
    <n v="12563.33"/>
    <x v="0"/>
    <x v="0"/>
    <d v="2026-06-30T00:00:00"/>
    <n v="12563.33"/>
  </r>
  <r>
    <x v="413"/>
    <d v="2025-06-08T00:00:00"/>
    <x v="5"/>
    <x v="0"/>
    <x v="3"/>
    <x v="1"/>
    <x v="2"/>
    <x v="0"/>
    <x v="17"/>
    <n v="1435.66"/>
    <n v="18663.580000000002"/>
    <x v="0"/>
    <x v="0"/>
    <d v="2026-06-30T00:00:00"/>
    <n v="18663.580000000002"/>
  </r>
  <r>
    <x v="414"/>
    <d v="2025-06-08T00:00:00"/>
    <x v="5"/>
    <x v="1"/>
    <x v="2"/>
    <x v="4"/>
    <x v="0"/>
    <x v="3"/>
    <x v="17"/>
    <n v="923.35"/>
    <n v="12003.55"/>
    <x v="0"/>
    <x v="0"/>
    <d v="2026-06-30T00:00:00"/>
    <n v="12003.55"/>
  </r>
  <r>
    <x v="415"/>
    <d v="2025-06-08T00:00:00"/>
    <x v="5"/>
    <x v="0"/>
    <x v="1"/>
    <x v="3"/>
    <x v="0"/>
    <x v="0"/>
    <x v="17"/>
    <n v="1477.03"/>
    <n v="19201.39"/>
    <x v="0"/>
    <x v="0"/>
    <d v="2026-06-30T00:00:00"/>
    <n v="19201.39"/>
  </r>
  <r>
    <x v="416"/>
    <d v="2025-06-09T00:00:00"/>
    <x v="5"/>
    <x v="0"/>
    <x v="2"/>
    <x v="3"/>
    <x v="2"/>
    <x v="3"/>
    <x v="15"/>
    <n v="1624.85"/>
    <n v="19498.2"/>
    <x v="1"/>
    <x v="1"/>
    <d v="2026-05-29T00:00:00"/>
    <n v="19498.2"/>
  </r>
  <r>
    <x v="417"/>
    <d v="2025-06-09T00:00:00"/>
    <x v="5"/>
    <x v="0"/>
    <x v="0"/>
    <x v="1"/>
    <x v="2"/>
    <x v="0"/>
    <x v="17"/>
    <n v="1517.8"/>
    <n v="19731.400000000001"/>
    <x v="0"/>
    <x v="0"/>
    <d v="2026-06-30T00:00:00"/>
    <n v="19731.400000000001"/>
  </r>
  <r>
    <x v="418"/>
    <d v="2025-06-09T00:00:00"/>
    <x v="5"/>
    <x v="1"/>
    <x v="1"/>
    <x v="3"/>
    <x v="0"/>
    <x v="1"/>
    <x v="17"/>
    <n v="878.24"/>
    <n v="11417.12"/>
    <x v="0"/>
    <x v="0"/>
    <d v="2026-06-30T00:00:00"/>
    <n v="11417.12"/>
  </r>
  <r>
    <x v="419"/>
    <d v="2025-06-10T00:00:00"/>
    <x v="5"/>
    <x v="1"/>
    <x v="1"/>
    <x v="3"/>
    <x v="0"/>
    <x v="0"/>
    <x v="17"/>
    <n v="888.74"/>
    <n v="11553.62"/>
    <x v="0"/>
    <x v="0"/>
    <d v="2026-06-30T00:00:00"/>
    <n v="11553.62"/>
  </r>
  <r>
    <x v="420"/>
    <d v="2025-06-10T00:00:00"/>
    <x v="5"/>
    <x v="2"/>
    <x v="1"/>
    <x v="1"/>
    <x v="0"/>
    <x v="2"/>
    <x v="15"/>
    <n v="539.64"/>
    <n v="6475.68"/>
    <x v="1"/>
    <x v="1"/>
    <d v="2026-06-25T00:00:00"/>
    <n v="6475.68"/>
  </r>
  <r>
    <x v="421"/>
    <d v="2025-06-10T00:00:00"/>
    <x v="5"/>
    <x v="1"/>
    <x v="2"/>
    <x v="3"/>
    <x v="0"/>
    <x v="2"/>
    <x v="17"/>
    <n v="921.66"/>
    <n v="11981.58"/>
    <x v="0"/>
    <x v="0"/>
    <d v="2026-06-30T00:00:00"/>
    <n v="11981.58"/>
  </r>
  <r>
    <x v="422"/>
    <d v="2025-06-11T00:00:00"/>
    <x v="5"/>
    <x v="2"/>
    <x v="0"/>
    <x v="2"/>
    <x v="2"/>
    <x v="1"/>
    <x v="16"/>
    <n v="508.89"/>
    <n v="1526.67"/>
    <x v="1"/>
    <x v="1"/>
    <d v="2025-09-01T00:00:00"/>
    <n v="1526.67"/>
  </r>
  <r>
    <x v="423"/>
    <d v="2025-06-11T00:00:00"/>
    <x v="5"/>
    <x v="1"/>
    <x v="0"/>
    <x v="2"/>
    <x v="0"/>
    <x v="0"/>
    <x v="17"/>
    <n v="982.63"/>
    <n v="12774.19"/>
    <x v="0"/>
    <x v="0"/>
    <d v="2026-06-30T00:00:00"/>
    <n v="12774.19"/>
  </r>
  <r>
    <x v="424"/>
    <d v="2025-06-11T00:00:00"/>
    <x v="5"/>
    <x v="0"/>
    <x v="1"/>
    <x v="1"/>
    <x v="2"/>
    <x v="3"/>
    <x v="17"/>
    <n v="1422.12"/>
    <n v="18487.560000000001"/>
    <x v="0"/>
    <x v="0"/>
    <d v="2026-06-30T00:00:00"/>
    <n v="18487.560000000001"/>
  </r>
  <r>
    <x v="425"/>
    <d v="2025-06-11T00:00:00"/>
    <x v="5"/>
    <x v="2"/>
    <x v="1"/>
    <x v="0"/>
    <x v="2"/>
    <x v="2"/>
    <x v="9"/>
    <n v="529.99"/>
    <n v="1059.98"/>
    <x v="1"/>
    <x v="4"/>
    <d v="2025-08-02T00:00:00"/>
    <n v="1059.98"/>
  </r>
  <r>
    <x v="426"/>
    <d v="2025-06-12T00:00:00"/>
    <x v="5"/>
    <x v="2"/>
    <x v="1"/>
    <x v="2"/>
    <x v="2"/>
    <x v="3"/>
    <x v="9"/>
    <n v="511.26"/>
    <n v="1022.52"/>
    <x v="1"/>
    <x v="2"/>
    <d v="2025-08-06T00:00:00"/>
    <n v="1022.52"/>
  </r>
  <r>
    <x v="427"/>
    <d v="2025-06-12T00:00:00"/>
    <x v="5"/>
    <x v="2"/>
    <x v="1"/>
    <x v="3"/>
    <x v="2"/>
    <x v="0"/>
    <x v="17"/>
    <n v="450.62"/>
    <n v="5858.06"/>
    <x v="0"/>
    <x v="0"/>
    <d v="2026-06-30T00:00:00"/>
    <n v="5858.06"/>
  </r>
  <r>
    <x v="428"/>
    <d v="2025-06-12T00:00:00"/>
    <x v="5"/>
    <x v="2"/>
    <x v="1"/>
    <x v="2"/>
    <x v="2"/>
    <x v="1"/>
    <x v="17"/>
    <n v="504.33"/>
    <n v="6556.29"/>
    <x v="0"/>
    <x v="0"/>
    <d v="2026-06-30T00:00:00"/>
    <n v="6556.29"/>
  </r>
  <r>
    <x v="429"/>
    <d v="2025-06-12T00:00:00"/>
    <x v="5"/>
    <x v="1"/>
    <x v="0"/>
    <x v="0"/>
    <x v="2"/>
    <x v="1"/>
    <x v="17"/>
    <n v="929.47"/>
    <n v="12083.11"/>
    <x v="0"/>
    <x v="0"/>
    <d v="2026-06-30T00:00:00"/>
    <n v="12083.11"/>
  </r>
  <r>
    <x v="430"/>
    <d v="2025-06-12T00:00:00"/>
    <x v="5"/>
    <x v="1"/>
    <x v="1"/>
    <x v="4"/>
    <x v="2"/>
    <x v="3"/>
    <x v="12"/>
    <n v="983.79"/>
    <n v="6886.53"/>
    <x v="1"/>
    <x v="2"/>
    <d v="2026-01-20T00:00:00"/>
    <n v="6886.53"/>
  </r>
  <r>
    <x v="431"/>
    <d v="2025-06-13T00:00:00"/>
    <x v="5"/>
    <x v="1"/>
    <x v="0"/>
    <x v="2"/>
    <x v="1"/>
    <x v="2"/>
    <x v="17"/>
    <n v="826.78"/>
    <n v="10748.14"/>
    <x v="0"/>
    <x v="0"/>
    <d v="2026-06-30T00:00:00"/>
    <n v="10748.14"/>
  </r>
  <r>
    <x v="432"/>
    <d v="2025-06-13T00:00:00"/>
    <x v="5"/>
    <x v="1"/>
    <x v="1"/>
    <x v="4"/>
    <x v="2"/>
    <x v="1"/>
    <x v="17"/>
    <n v="927.51"/>
    <n v="12057.63"/>
    <x v="0"/>
    <x v="0"/>
    <d v="2026-06-30T00:00:00"/>
    <n v="12057.63"/>
  </r>
  <r>
    <x v="433"/>
    <d v="2025-06-13T00:00:00"/>
    <x v="5"/>
    <x v="2"/>
    <x v="3"/>
    <x v="1"/>
    <x v="2"/>
    <x v="2"/>
    <x v="17"/>
    <n v="484.87"/>
    <n v="6303.31"/>
    <x v="0"/>
    <x v="0"/>
    <d v="2026-06-30T00:00:00"/>
    <n v="6303.31"/>
  </r>
  <r>
    <x v="434"/>
    <d v="2025-06-14T00:00:00"/>
    <x v="5"/>
    <x v="1"/>
    <x v="1"/>
    <x v="0"/>
    <x v="2"/>
    <x v="1"/>
    <x v="17"/>
    <n v="870.8"/>
    <n v="11320.4"/>
    <x v="0"/>
    <x v="0"/>
    <d v="2026-06-30T00:00:00"/>
    <n v="11320.4"/>
  </r>
  <r>
    <x v="435"/>
    <d v="2025-06-14T00:00:00"/>
    <x v="5"/>
    <x v="0"/>
    <x v="3"/>
    <x v="2"/>
    <x v="0"/>
    <x v="3"/>
    <x v="17"/>
    <n v="1554.78"/>
    <n v="20212.14"/>
    <x v="0"/>
    <x v="0"/>
    <d v="2026-06-30T00:00:00"/>
    <n v="20212.14"/>
  </r>
  <r>
    <x v="436"/>
    <d v="2025-06-14T00:00:00"/>
    <x v="5"/>
    <x v="0"/>
    <x v="1"/>
    <x v="1"/>
    <x v="0"/>
    <x v="0"/>
    <x v="17"/>
    <n v="1520.04"/>
    <n v="19760.52"/>
    <x v="0"/>
    <x v="0"/>
    <d v="2026-06-30T00:00:00"/>
    <n v="19760.52"/>
  </r>
  <r>
    <x v="437"/>
    <d v="2025-06-15T00:00:00"/>
    <x v="5"/>
    <x v="1"/>
    <x v="3"/>
    <x v="3"/>
    <x v="2"/>
    <x v="2"/>
    <x v="15"/>
    <n v="898.76"/>
    <n v="10785.12"/>
    <x v="0"/>
    <x v="0"/>
    <d v="2026-06-30T00:00:00"/>
    <n v="10785.12"/>
  </r>
  <r>
    <x v="438"/>
    <d v="2025-06-15T00:00:00"/>
    <x v="5"/>
    <x v="1"/>
    <x v="0"/>
    <x v="2"/>
    <x v="2"/>
    <x v="0"/>
    <x v="15"/>
    <n v="900.66"/>
    <n v="10807.92"/>
    <x v="0"/>
    <x v="0"/>
    <d v="2026-06-30T00:00:00"/>
    <n v="10807.92"/>
  </r>
  <r>
    <x v="439"/>
    <d v="2025-06-15T00:00:00"/>
    <x v="5"/>
    <x v="1"/>
    <x v="0"/>
    <x v="3"/>
    <x v="2"/>
    <x v="2"/>
    <x v="15"/>
    <n v="976.05"/>
    <n v="11712.6"/>
    <x v="0"/>
    <x v="0"/>
    <d v="2026-06-30T00:00:00"/>
    <n v="11712.6"/>
  </r>
  <r>
    <x v="440"/>
    <d v="2025-06-16T00:00:00"/>
    <x v="5"/>
    <x v="2"/>
    <x v="3"/>
    <x v="0"/>
    <x v="2"/>
    <x v="3"/>
    <x v="14"/>
    <n v="540.15"/>
    <n v="3240.9"/>
    <x v="1"/>
    <x v="1"/>
    <d v="2025-12-05T00:00:00"/>
    <n v="3240.9"/>
  </r>
  <r>
    <x v="441"/>
    <d v="2025-06-16T00:00:00"/>
    <x v="5"/>
    <x v="1"/>
    <x v="1"/>
    <x v="3"/>
    <x v="2"/>
    <x v="2"/>
    <x v="15"/>
    <n v="820.67"/>
    <n v="9848.0400000000009"/>
    <x v="0"/>
    <x v="0"/>
    <d v="2026-06-30T00:00:00"/>
    <n v="9848.0400000000009"/>
  </r>
  <r>
    <x v="442"/>
    <d v="2025-06-16T00:00:00"/>
    <x v="5"/>
    <x v="2"/>
    <x v="2"/>
    <x v="0"/>
    <x v="2"/>
    <x v="0"/>
    <x v="15"/>
    <n v="502.62"/>
    <n v="6031.44"/>
    <x v="0"/>
    <x v="0"/>
    <d v="2026-06-30T00:00:00"/>
    <n v="6031.44"/>
  </r>
  <r>
    <x v="443"/>
    <d v="2025-06-16T00:00:00"/>
    <x v="5"/>
    <x v="2"/>
    <x v="2"/>
    <x v="4"/>
    <x v="2"/>
    <x v="0"/>
    <x v="1"/>
    <n v="537.04"/>
    <n v="5907.44"/>
    <x v="1"/>
    <x v="2"/>
    <d v="2026-05-18T00:00:00"/>
    <n v="5907.44"/>
  </r>
  <r>
    <x v="444"/>
    <d v="2025-06-17T00:00:00"/>
    <x v="5"/>
    <x v="2"/>
    <x v="1"/>
    <x v="0"/>
    <x v="2"/>
    <x v="0"/>
    <x v="5"/>
    <n v="513.41"/>
    <n v="4620.6899999999996"/>
    <x v="1"/>
    <x v="5"/>
    <d v="2026-03-10T00:00:00"/>
    <n v="4620.6899999999996"/>
  </r>
  <r>
    <x v="445"/>
    <d v="2025-06-17T00:00:00"/>
    <x v="5"/>
    <x v="1"/>
    <x v="1"/>
    <x v="1"/>
    <x v="0"/>
    <x v="2"/>
    <x v="15"/>
    <n v="837.42"/>
    <n v="10049.040000000001"/>
    <x v="0"/>
    <x v="0"/>
    <d v="2026-06-30T00:00:00"/>
    <n v="10049.040000000001"/>
  </r>
  <r>
    <x v="446"/>
    <d v="2025-06-17T00:00:00"/>
    <x v="5"/>
    <x v="0"/>
    <x v="1"/>
    <x v="3"/>
    <x v="0"/>
    <x v="2"/>
    <x v="11"/>
    <n v="1544.48"/>
    <n v="7722.4"/>
    <x v="1"/>
    <x v="1"/>
    <d v="2025-11-01T00:00:00"/>
    <n v="7722.4"/>
  </r>
  <r>
    <x v="447"/>
    <d v="2025-06-17T00:00:00"/>
    <x v="5"/>
    <x v="1"/>
    <x v="1"/>
    <x v="0"/>
    <x v="2"/>
    <x v="0"/>
    <x v="15"/>
    <n v="907.89"/>
    <n v="10894.68"/>
    <x v="0"/>
    <x v="0"/>
    <d v="2026-06-30T00:00:00"/>
    <n v="10894.68"/>
  </r>
  <r>
    <x v="448"/>
    <d v="2025-06-17T00:00:00"/>
    <x v="5"/>
    <x v="2"/>
    <x v="0"/>
    <x v="3"/>
    <x v="2"/>
    <x v="2"/>
    <x v="15"/>
    <n v="468.53"/>
    <n v="5622.36"/>
    <x v="0"/>
    <x v="0"/>
    <d v="2026-06-30T00:00:00"/>
    <n v="5622.36"/>
  </r>
  <r>
    <x v="449"/>
    <d v="2025-06-18T00:00:00"/>
    <x v="5"/>
    <x v="1"/>
    <x v="1"/>
    <x v="3"/>
    <x v="2"/>
    <x v="3"/>
    <x v="15"/>
    <n v="948.14"/>
    <n v="11377.68"/>
    <x v="0"/>
    <x v="0"/>
    <d v="2026-06-30T00:00:00"/>
    <n v="11377.68"/>
  </r>
  <r>
    <x v="450"/>
    <d v="2025-06-18T00:00:00"/>
    <x v="5"/>
    <x v="1"/>
    <x v="2"/>
    <x v="1"/>
    <x v="0"/>
    <x v="2"/>
    <x v="15"/>
    <n v="877.9"/>
    <n v="10534.8"/>
    <x v="0"/>
    <x v="0"/>
    <d v="2026-06-30T00:00:00"/>
    <n v="10534.8"/>
  </r>
  <r>
    <x v="451"/>
    <d v="2025-06-18T00:00:00"/>
    <x v="5"/>
    <x v="0"/>
    <x v="2"/>
    <x v="2"/>
    <x v="2"/>
    <x v="3"/>
    <x v="15"/>
    <n v="1605.23"/>
    <n v="19262.759999999998"/>
    <x v="1"/>
    <x v="1"/>
    <d v="2026-06-19T00:00:00"/>
    <n v="19262.759999999998"/>
  </r>
  <r>
    <x v="452"/>
    <d v="2025-06-18T00:00:00"/>
    <x v="5"/>
    <x v="1"/>
    <x v="3"/>
    <x v="0"/>
    <x v="0"/>
    <x v="0"/>
    <x v="15"/>
    <n v="971.6"/>
    <n v="11659.2"/>
    <x v="1"/>
    <x v="3"/>
    <d v="2026-06-22T00:00:00"/>
    <n v="11659.2"/>
  </r>
  <r>
    <x v="453"/>
    <d v="2025-06-18T00:00:00"/>
    <x v="5"/>
    <x v="1"/>
    <x v="2"/>
    <x v="3"/>
    <x v="2"/>
    <x v="0"/>
    <x v="15"/>
    <n v="899.22"/>
    <n v="10790.64"/>
    <x v="0"/>
    <x v="0"/>
    <d v="2026-06-30T00:00:00"/>
    <n v="10790.64"/>
  </r>
  <r>
    <x v="454"/>
    <d v="2025-06-18T00:00:00"/>
    <x v="5"/>
    <x v="2"/>
    <x v="2"/>
    <x v="2"/>
    <x v="2"/>
    <x v="0"/>
    <x v="15"/>
    <n v="515.67999999999995"/>
    <n v="6188.16"/>
    <x v="0"/>
    <x v="0"/>
    <d v="2026-06-30T00:00:00"/>
    <n v="6188.16"/>
  </r>
  <r>
    <x v="455"/>
    <d v="2025-06-19T00:00:00"/>
    <x v="5"/>
    <x v="2"/>
    <x v="3"/>
    <x v="2"/>
    <x v="1"/>
    <x v="0"/>
    <x v="15"/>
    <n v="476.6"/>
    <n v="5719.2"/>
    <x v="0"/>
    <x v="0"/>
    <d v="2026-06-30T00:00:00"/>
    <n v="5719.2"/>
  </r>
  <r>
    <x v="456"/>
    <d v="2025-06-20T00:00:00"/>
    <x v="5"/>
    <x v="0"/>
    <x v="1"/>
    <x v="4"/>
    <x v="2"/>
    <x v="3"/>
    <x v="15"/>
    <n v="1647.52"/>
    <n v="19770.240000000002"/>
    <x v="0"/>
    <x v="0"/>
    <d v="2026-06-30T00:00:00"/>
    <n v="19770.240000000002"/>
  </r>
  <r>
    <x v="457"/>
    <d v="2025-06-20T00:00:00"/>
    <x v="5"/>
    <x v="1"/>
    <x v="1"/>
    <x v="2"/>
    <x v="2"/>
    <x v="0"/>
    <x v="15"/>
    <n v="961.22"/>
    <n v="11534.64"/>
    <x v="0"/>
    <x v="0"/>
    <d v="2026-06-30T00:00:00"/>
    <n v="11534.64"/>
  </r>
  <r>
    <x v="458"/>
    <d v="2025-06-20T00:00:00"/>
    <x v="5"/>
    <x v="0"/>
    <x v="1"/>
    <x v="4"/>
    <x v="2"/>
    <x v="1"/>
    <x v="3"/>
    <n v="1401.89"/>
    <n v="5607.56"/>
    <x v="1"/>
    <x v="1"/>
    <d v="2025-10-29T00:00:00"/>
    <n v="5607.56"/>
  </r>
  <r>
    <x v="459"/>
    <d v="2025-06-20T00:00:00"/>
    <x v="5"/>
    <x v="1"/>
    <x v="0"/>
    <x v="0"/>
    <x v="0"/>
    <x v="2"/>
    <x v="15"/>
    <n v="936.37"/>
    <n v="11236.44"/>
    <x v="0"/>
    <x v="0"/>
    <d v="2026-06-30T00:00:00"/>
    <n v="11236.44"/>
  </r>
  <r>
    <x v="460"/>
    <d v="2025-06-21T00:00:00"/>
    <x v="5"/>
    <x v="1"/>
    <x v="2"/>
    <x v="4"/>
    <x v="2"/>
    <x v="2"/>
    <x v="15"/>
    <n v="967.19"/>
    <n v="11606.28"/>
    <x v="0"/>
    <x v="0"/>
    <d v="2026-06-30T00:00:00"/>
    <n v="11606.28"/>
  </r>
  <r>
    <x v="461"/>
    <d v="2025-06-21T00:00:00"/>
    <x v="5"/>
    <x v="1"/>
    <x v="1"/>
    <x v="4"/>
    <x v="0"/>
    <x v="3"/>
    <x v="15"/>
    <n v="919.6"/>
    <n v="11035.2"/>
    <x v="0"/>
    <x v="0"/>
    <d v="2026-06-30T00:00:00"/>
    <n v="11035.2"/>
  </r>
  <r>
    <x v="462"/>
    <d v="2025-06-21T00:00:00"/>
    <x v="5"/>
    <x v="0"/>
    <x v="3"/>
    <x v="1"/>
    <x v="2"/>
    <x v="0"/>
    <x v="15"/>
    <n v="1596.81"/>
    <n v="19161.72"/>
    <x v="0"/>
    <x v="0"/>
    <d v="2026-06-30T00:00:00"/>
    <n v="19161.72"/>
  </r>
  <r>
    <x v="463"/>
    <d v="2025-06-22T00:00:00"/>
    <x v="5"/>
    <x v="1"/>
    <x v="2"/>
    <x v="0"/>
    <x v="2"/>
    <x v="0"/>
    <x v="4"/>
    <n v="886.26"/>
    <n v="7090.08"/>
    <x v="1"/>
    <x v="5"/>
    <d v="2026-03-02T00:00:00"/>
    <n v="7090.08"/>
  </r>
  <r>
    <x v="464"/>
    <d v="2025-06-22T00:00:00"/>
    <x v="5"/>
    <x v="1"/>
    <x v="1"/>
    <x v="1"/>
    <x v="0"/>
    <x v="1"/>
    <x v="15"/>
    <n v="892.35"/>
    <n v="10708.2"/>
    <x v="0"/>
    <x v="0"/>
    <d v="2026-06-30T00:00:00"/>
    <n v="10708.2"/>
  </r>
  <r>
    <x v="465"/>
    <d v="2025-06-23T00:00:00"/>
    <x v="5"/>
    <x v="2"/>
    <x v="1"/>
    <x v="2"/>
    <x v="2"/>
    <x v="0"/>
    <x v="12"/>
    <n v="452.23"/>
    <n v="3165.61"/>
    <x v="1"/>
    <x v="2"/>
    <d v="2026-01-26T00:00:00"/>
    <n v="3165.61"/>
  </r>
  <r>
    <x v="466"/>
    <d v="2025-06-23T00:00:00"/>
    <x v="5"/>
    <x v="2"/>
    <x v="2"/>
    <x v="1"/>
    <x v="2"/>
    <x v="2"/>
    <x v="11"/>
    <n v="523.34"/>
    <n v="2616.6999999999998"/>
    <x v="1"/>
    <x v="5"/>
    <d v="2025-12-01T00:00:00"/>
    <n v="2616.6999999999998"/>
  </r>
  <r>
    <x v="467"/>
    <d v="2025-06-23T00:00:00"/>
    <x v="5"/>
    <x v="2"/>
    <x v="2"/>
    <x v="1"/>
    <x v="1"/>
    <x v="1"/>
    <x v="14"/>
    <n v="530.22"/>
    <n v="3181.32"/>
    <x v="1"/>
    <x v="5"/>
    <d v="2025-12-11T00:00:00"/>
    <n v="3181.32"/>
  </r>
  <r>
    <x v="468"/>
    <d v="2025-06-23T00:00:00"/>
    <x v="5"/>
    <x v="1"/>
    <x v="1"/>
    <x v="0"/>
    <x v="2"/>
    <x v="0"/>
    <x v="15"/>
    <n v="832.14"/>
    <n v="9985.68"/>
    <x v="0"/>
    <x v="0"/>
    <d v="2026-06-30T00:00:00"/>
    <n v="9985.68"/>
  </r>
  <r>
    <x v="469"/>
    <d v="2025-06-23T00:00:00"/>
    <x v="5"/>
    <x v="1"/>
    <x v="2"/>
    <x v="1"/>
    <x v="2"/>
    <x v="0"/>
    <x v="15"/>
    <n v="911.31"/>
    <n v="10935.72"/>
    <x v="0"/>
    <x v="0"/>
    <d v="2026-06-30T00:00:00"/>
    <n v="10935.72"/>
  </r>
  <r>
    <x v="470"/>
    <d v="2025-06-24T00:00:00"/>
    <x v="5"/>
    <x v="2"/>
    <x v="0"/>
    <x v="0"/>
    <x v="0"/>
    <x v="3"/>
    <x v="15"/>
    <n v="548.08000000000004"/>
    <n v="6576.96"/>
    <x v="0"/>
    <x v="0"/>
    <d v="2026-06-30T00:00:00"/>
    <n v="6576.96"/>
  </r>
  <r>
    <x v="471"/>
    <d v="2025-06-24T00:00:00"/>
    <x v="5"/>
    <x v="2"/>
    <x v="1"/>
    <x v="1"/>
    <x v="0"/>
    <x v="0"/>
    <x v="13"/>
    <n v="485.47"/>
    <n v="485.47"/>
    <x v="1"/>
    <x v="4"/>
    <d v="2025-08-02T00:00:00"/>
    <n v="485.47"/>
  </r>
  <r>
    <x v="472"/>
    <d v="2025-06-24T00:00:00"/>
    <x v="5"/>
    <x v="0"/>
    <x v="2"/>
    <x v="3"/>
    <x v="0"/>
    <x v="3"/>
    <x v="15"/>
    <n v="1589.26"/>
    <n v="19071.12"/>
    <x v="0"/>
    <x v="0"/>
    <d v="2026-06-30T00:00:00"/>
    <n v="19071.12"/>
  </r>
  <r>
    <x v="473"/>
    <d v="2025-06-24T00:00:00"/>
    <x v="5"/>
    <x v="0"/>
    <x v="1"/>
    <x v="1"/>
    <x v="0"/>
    <x v="0"/>
    <x v="15"/>
    <n v="1600.52"/>
    <n v="19206.240000000002"/>
    <x v="0"/>
    <x v="0"/>
    <d v="2026-06-30T00:00:00"/>
    <n v="19206.240000000002"/>
  </r>
  <r>
    <x v="474"/>
    <d v="2025-06-25T00:00:00"/>
    <x v="5"/>
    <x v="0"/>
    <x v="0"/>
    <x v="2"/>
    <x v="2"/>
    <x v="3"/>
    <x v="3"/>
    <n v="1541.02"/>
    <n v="6164.08"/>
    <x v="1"/>
    <x v="2"/>
    <d v="2025-10-21T00:00:00"/>
    <n v="6164.08"/>
  </r>
  <r>
    <x v="475"/>
    <d v="2025-06-26T00:00:00"/>
    <x v="5"/>
    <x v="0"/>
    <x v="2"/>
    <x v="1"/>
    <x v="2"/>
    <x v="0"/>
    <x v="15"/>
    <n v="1360.36"/>
    <n v="16324.32"/>
    <x v="0"/>
    <x v="0"/>
    <d v="2026-06-30T00:00:00"/>
    <n v="16324.32"/>
  </r>
  <r>
    <x v="476"/>
    <d v="2025-06-27T00:00:00"/>
    <x v="5"/>
    <x v="0"/>
    <x v="0"/>
    <x v="2"/>
    <x v="0"/>
    <x v="3"/>
    <x v="15"/>
    <n v="1647.21"/>
    <n v="19766.52"/>
    <x v="0"/>
    <x v="0"/>
    <d v="2026-06-30T00:00:00"/>
    <n v="19766.52"/>
  </r>
  <r>
    <x v="477"/>
    <d v="2025-06-28T00:00:00"/>
    <x v="5"/>
    <x v="2"/>
    <x v="0"/>
    <x v="2"/>
    <x v="2"/>
    <x v="2"/>
    <x v="15"/>
    <n v="529.41"/>
    <n v="6352.92"/>
    <x v="0"/>
    <x v="0"/>
    <d v="2026-06-30T00:00:00"/>
    <n v="6352.92"/>
  </r>
  <r>
    <x v="478"/>
    <d v="2025-06-28T00:00:00"/>
    <x v="5"/>
    <x v="0"/>
    <x v="1"/>
    <x v="0"/>
    <x v="2"/>
    <x v="0"/>
    <x v="15"/>
    <n v="1484.68"/>
    <n v="17816.16"/>
    <x v="0"/>
    <x v="0"/>
    <d v="2026-06-30T00:00:00"/>
    <n v="17816.16"/>
  </r>
  <r>
    <x v="479"/>
    <d v="2025-06-28T00:00:00"/>
    <x v="5"/>
    <x v="1"/>
    <x v="1"/>
    <x v="1"/>
    <x v="2"/>
    <x v="3"/>
    <x v="15"/>
    <n v="955.84"/>
    <n v="11470.08"/>
    <x v="0"/>
    <x v="0"/>
    <d v="2026-06-30T00:00:00"/>
    <n v="11470.08"/>
  </r>
  <r>
    <x v="480"/>
    <d v="2025-06-29T00:00:00"/>
    <x v="5"/>
    <x v="1"/>
    <x v="3"/>
    <x v="2"/>
    <x v="2"/>
    <x v="0"/>
    <x v="15"/>
    <n v="934.17"/>
    <n v="11210.04"/>
    <x v="0"/>
    <x v="0"/>
    <d v="2026-06-30T00:00:00"/>
    <n v="11210.04"/>
  </r>
  <r>
    <x v="481"/>
    <d v="2025-06-29T00:00:00"/>
    <x v="5"/>
    <x v="2"/>
    <x v="2"/>
    <x v="1"/>
    <x v="2"/>
    <x v="0"/>
    <x v="9"/>
    <n v="464.52"/>
    <n v="929.04"/>
    <x v="1"/>
    <x v="1"/>
    <d v="2025-09-05T00:00:00"/>
    <n v="929.04"/>
  </r>
  <r>
    <x v="482"/>
    <d v="2025-06-29T00:00:00"/>
    <x v="5"/>
    <x v="1"/>
    <x v="1"/>
    <x v="1"/>
    <x v="2"/>
    <x v="2"/>
    <x v="13"/>
    <n v="964.82"/>
    <n v="964.82"/>
    <x v="1"/>
    <x v="4"/>
    <d v="2025-08-04T00:00:00"/>
    <n v="964.82"/>
  </r>
  <r>
    <x v="483"/>
    <d v="2025-06-29T00:00:00"/>
    <x v="5"/>
    <x v="2"/>
    <x v="3"/>
    <x v="1"/>
    <x v="2"/>
    <x v="3"/>
    <x v="13"/>
    <n v="464.66"/>
    <n v="464.66"/>
    <x v="1"/>
    <x v="3"/>
    <d v="2025-08-11T00:00:00"/>
    <n v="464.66"/>
  </r>
  <r>
    <x v="484"/>
    <d v="2025-06-30T00:00:00"/>
    <x v="5"/>
    <x v="2"/>
    <x v="1"/>
    <x v="3"/>
    <x v="2"/>
    <x v="2"/>
    <x v="15"/>
    <n v="487.27"/>
    <n v="5847.24"/>
    <x v="0"/>
    <x v="0"/>
    <d v="2026-06-30T00:00:00"/>
    <n v="5847.24"/>
  </r>
  <r>
    <x v="485"/>
    <d v="2025-06-30T00:00:00"/>
    <x v="5"/>
    <x v="2"/>
    <x v="1"/>
    <x v="1"/>
    <x v="2"/>
    <x v="0"/>
    <x v="15"/>
    <n v="455.42"/>
    <n v="5465.04"/>
    <x v="0"/>
    <x v="0"/>
    <d v="2026-06-30T00:00:00"/>
    <n v="5465.04"/>
  </r>
  <r>
    <x v="486"/>
    <d v="2025-06-30T00:00:00"/>
    <x v="5"/>
    <x v="1"/>
    <x v="1"/>
    <x v="1"/>
    <x v="2"/>
    <x v="3"/>
    <x v="9"/>
    <n v="884.72"/>
    <n v="1769.44"/>
    <x v="1"/>
    <x v="1"/>
    <d v="2025-08-25T00:00:00"/>
    <n v="1769.44"/>
  </r>
  <r>
    <x v="487"/>
    <d v="2025-07-01T00:00:00"/>
    <x v="6"/>
    <x v="2"/>
    <x v="0"/>
    <x v="2"/>
    <x v="2"/>
    <x v="1"/>
    <x v="15"/>
    <n v="466.4"/>
    <n v="5596.8"/>
    <x v="0"/>
    <x v="0"/>
    <d v="2026-06-30T00:00:00"/>
    <n v="5596.8"/>
  </r>
  <r>
    <x v="488"/>
    <d v="2025-07-01T00:00:00"/>
    <x v="6"/>
    <x v="2"/>
    <x v="1"/>
    <x v="1"/>
    <x v="2"/>
    <x v="0"/>
    <x v="16"/>
    <n v="515.17999999999995"/>
    <n v="1545.54"/>
    <x v="1"/>
    <x v="4"/>
    <d v="2025-10-03T00:00:00"/>
    <n v="1545.54"/>
  </r>
  <r>
    <x v="489"/>
    <d v="2025-07-02T00:00:00"/>
    <x v="6"/>
    <x v="1"/>
    <x v="2"/>
    <x v="1"/>
    <x v="2"/>
    <x v="3"/>
    <x v="15"/>
    <n v="875.63"/>
    <n v="10507.56"/>
    <x v="0"/>
    <x v="0"/>
    <d v="2026-06-30T00:00:00"/>
    <n v="10507.56"/>
  </r>
  <r>
    <x v="490"/>
    <d v="2025-07-02T00:00:00"/>
    <x v="6"/>
    <x v="0"/>
    <x v="1"/>
    <x v="1"/>
    <x v="2"/>
    <x v="0"/>
    <x v="15"/>
    <n v="1482.11"/>
    <n v="17785.32"/>
    <x v="0"/>
    <x v="0"/>
    <d v="2026-06-30T00:00:00"/>
    <n v="17785.32"/>
  </r>
  <r>
    <x v="491"/>
    <d v="2025-07-02T00:00:00"/>
    <x v="6"/>
    <x v="0"/>
    <x v="2"/>
    <x v="1"/>
    <x v="2"/>
    <x v="1"/>
    <x v="15"/>
    <n v="1488.47"/>
    <n v="17861.64"/>
    <x v="0"/>
    <x v="0"/>
    <d v="2026-06-30T00:00:00"/>
    <n v="17861.64"/>
  </r>
  <r>
    <x v="492"/>
    <d v="2025-07-02T00:00:00"/>
    <x v="6"/>
    <x v="2"/>
    <x v="0"/>
    <x v="2"/>
    <x v="1"/>
    <x v="0"/>
    <x v="15"/>
    <n v="494.8"/>
    <n v="5937.6"/>
    <x v="1"/>
    <x v="1"/>
    <d v="2026-06-23T00:00:00"/>
    <n v="5937.6"/>
  </r>
  <r>
    <x v="493"/>
    <d v="2025-07-02T00:00:00"/>
    <x v="6"/>
    <x v="1"/>
    <x v="2"/>
    <x v="0"/>
    <x v="0"/>
    <x v="2"/>
    <x v="15"/>
    <n v="967.57"/>
    <n v="11610.84"/>
    <x v="0"/>
    <x v="0"/>
    <d v="2026-06-30T00:00:00"/>
    <n v="11610.84"/>
  </r>
  <r>
    <x v="494"/>
    <d v="2025-07-03T00:00:00"/>
    <x v="6"/>
    <x v="0"/>
    <x v="3"/>
    <x v="2"/>
    <x v="2"/>
    <x v="0"/>
    <x v="15"/>
    <n v="1529.72"/>
    <n v="18356.64"/>
    <x v="0"/>
    <x v="0"/>
    <d v="2026-06-30T00:00:00"/>
    <n v="18356.64"/>
  </r>
  <r>
    <x v="495"/>
    <d v="2025-07-04T00:00:00"/>
    <x v="6"/>
    <x v="1"/>
    <x v="2"/>
    <x v="0"/>
    <x v="0"/>
    <x v="0"/>
    <x v="15"/>
    <n v="815.97"/>
    <n v="9791.64"/>
    <x v="0"/>
    <x v="0"/>
    <d v="2026-06-30T00:00:00"/>
    <n v="9791.64"/>
  </r>
  <r>
    <x v="496"/>
    <d v="2025-07-04T00:00:00"/>
    <x v="6"/>
    <x v="2"/>
    <x v="1"/>
    <x v="1"/>
    <x v="2"/>
    <x v="1"/>
    <x v="15"/>
    <n v="469.51"/>
    <n v="5634.12"/>
    <x v="1"/>
    <x v="4"/>
    <d v="2026-06-20T00:00:00"/>
    <n v="5634.12"/>
  </r>
  <r>
    <x v="497"/>
    <d v="2025-07-04T00:00:00"/>
    <x v="6"/>
    <x v="1"/>
    <x v="3"/>
    <x v="0"/>
    <x v="2"/>
    <x v="0"/>
    <x v="15"/>
    <n v="861.76"/>
    <n v="10341.120000000001"/>
    <x v="0"/>
    <x v="0"/>
    <d v="2026-06-30T00:00:00"/>
    <n v="10341.120000000001"/>
  </r>
  <r>
    <x v="498"/>
    <d v="2025-07-04T00:00:00"/>
    <x v="6"/>
    <x v="1"/>
    <x v="1"/>
    <x v="0"/>
    <x v="0"/>
    <x v="3"/>
    <x v="15"/>
    <n v="905.26"/>
    <n v="10863.12"/>
    <x v="0"/>
    <x v="0"/>
    <d v="2026-06-30T00:00:00"/>
    <n v="10863.12"/>
  </r>
  <r>
    <x v="499"/>
    <d v="2025-07-04T00:00:00"/>
    <x v="6"/>
    <x v="2"/>
    <x v="0"/>
    <x v="1"/>
    <x v="2"/>
    <x v="0"/>
    <x v="15"/>
    <n v="511.69"/>
    <n v="6140.28"/>
    <x v="0"/>
    <x v="0"/>
    <d v="2026-06-30T00:00:00"/>
    <n v="6140.28"/>
  </r>
  <r>
    <x v="500"/>
    <d v="2025-07-04T00:00:00"/>
    <x v="6"/>
    <x v="1"/>
    <x v="2"/>
    <x v="2"/>
    <x v="0"/>
    <x v="2"/>
    <x v="15"/>
    <n v="833.06"/>
    <n v="9996.7199999999993"/>
    <x v="0"/>
    <x v="0"/>
    <d v="2026-06-30T00:00:00"/>
    <n v="9996.7199999999993"/>
  </r>
  <r>
    <x v="501"/>
    <d v="2025-07-05T00:00:00"/>
    <x v="6"/>
    <x v="1"/>
    <x v="0"/>
    <x v="1"/>
    <x v="2"/>
    <x v="2"/>
    <x v="15"/>
    <n v="815.8"/>
    <n v="9789.6"/>
    <x v="0"/>
    <x v="0"/>
    <d v="2026-06-30T00:00:00"/>
    <n v="9789.6"/>
  </r>
  <r>
    <x v="502"/>
    <d v="2025-07-05T00:00:00"/>
    <x v="6"/>
    <x v="0"/>
    <x v="0"/>
    <x v="0"/>
    <x v="2"/>
    <x v="0"/>
    <x v="15"/>
    <n v="1521.49"/>
    <n v="18257.88"/>
    <x v="0"/>
    <x v="0"/>
    <d v="2026-06-30T00:00:00"/>
    <n v="18257.88"/>
  </r>
  <r>
    <x v="503"/>
    <d v="2025-07-05T00:00:00"/>
    <x v="6"/>
    <x v="1"/>
    <x v="1"/>
    <x v="2"/>
    <x v="2"/>
    <x v="0"/>
    <x v="15"/>
    <n v="951.72"/>
    <n v="11420.64"/>
    <x v="0"/>
    <x v="0"/>
    <d v="2026-06-30T00:00:00"/>
    <n v="11420.64"/>
  </r>
  <r>
    <x v="504"/>
    <d v="2025-07-07T00:00:00"/>
    <x v="6"/>
    <x v="1"/>
    <x v="2"/>
    <x v="3"/>
    <x v="0"/>
    <x v="0"/>
    <x v="16"/>
    <n v="914.53"/>
    <n v="2743.59"/>
    <x v="1"/>
    <x v="5"/>
    <d v="2025-10-16T00:00:00"/>
    <n v="2743.59"/>
  </r>
  <r>
    <x v="505"/>
    <d v="2025-07-07T00:00:00"/>
    <x v="6"/>
    <x v="1"/>
    <x v="3"/>
    <x v="0"/>
    <x v="0"/>
    <x v="0"/>
    <x v="15"/>
    <n v="832.34"/>
    <n v="9988.08"/>
    <x v="0"/>
    <x v="0"/>
    <d v="2026-06-30T00:00:00"/>
    <n v="9988.08"/>
  </r>
  <r>
    <x v="506"/>
    <d v="2025-07-07T00:00:00"/>
    <x v="6"/>
    <x v="1"/>
    <x v="3"/>
    <x v="1"/>
    <x v="2"/>
    <x v="2"/>
    <x v="15"/>
    <n v="911.12"/>
    <n v="10933.44"/>
    <x v="0"/>
    <x v="0"/>
    <d v="2026-06-30T00:00:00"/>
    <n v="10933.44"/>
  </r>
  <r>
    <x v="507"/>
    <d v="2025-07-07T00:00:00"/>
    <x v="6"/>
    <x v="2"/>
    <x v="1"/>
    <x v="2"/>
    <x v="2"/>
    <x v="2"/>
    <x v="15"/>
    <n v="466.67"/>
    <n v="5600.04"/>
    <x v="0"/>
    <x v="0"/>
    <d v="2026-06-30T00:00:00"/>
    <n v="5600.04"/>
  </r>
  <r>
    <x v="508"/>
    <d v="2025-07-08T00:00:00"/>
    <x v="6"/>
    <x v="0"/>
    <x v="1"/>
    <x v="4"/>
    <x v="2"/>
    <x v="0"/>
    <x v="15"/>
    <n v="1428.9"/>
    <n v="17146.8"/>
    <x v="0"/>
    <x v="0"/>
    <d v="2026-06-30T00:00:00"/>
    <n v="17146.8"/>
  </r>
  <r>
    <x v="509"/>
    <d v="2025-07-08T00:00:00"/>
    <x v="6"/>
    <x v="1"/>
    <x v="2"/>
    <x v="1"/>
    <x v="1"/>
    <x v="1"/>
    <x v="15"/>
    <n v="902.86"/>
    <n v="10834.32"/>
    <x v="0"/>
    <x v="0"/>
    <d v="2026-06-30T00:00:00"/>
    <n v="10834.32"/>
  </r>
  <r>
    <x v="510"/>
    <d v="2025-07-08T00:00:00"/>
    <x v="6"/>
    <x v="2"/>
    <x v="1"/>
    <x v="1"/>
    <x v="0"/>
    <x v="0"/>
    <x v="15"/>
    <n v="502.33"/>
    <n v="6027.96"/>
    <x v="0"/>
    <x v="0"/>
    <d v="2026-06-30T00:00:00"/>
    <n v="6027.96"/>
  </r>
  <r>
    <x v="511"/>
    <d v="2025-07-09T00:00:00"/>
    <x v="6"/>
    <x v="1"/>
    <x v="1"/>
    <x v="3"/>
    <x v="2"/>
    <x v="0"/>
    <x v="15"/>
    <n v="900.06"/>
    <n v="10800.72"/>
    <x v="0"/>
    <x v="0"/>
    <d v="2026-06-30T00:00:00"/>
    <n v="10800.72"/>
  </r>
  <r>
    <x v="512"/>
    <d v="2025-07-09T00:00:00"/>
    <x v="6"/>
    <x v="0"/>
    <x v="3"/>
    <x v="2"/>
    <x v="2"/>
    <x v="0"/>
    <x v="15"/>
    <n v="1448.67"/>
    <n v="17384.04"/>
    <x v="0"/>
    <x v="0"/>
    <d v="2026-06-30T00:00:00"/>
    <n v="17384.04"/>
  </r>
  <r>
    <x v="513"/>
    <d v="2025-07-10T00:00:00"/>
    <x v="6"/>
    <x v="2"/>
    <x v="1"/>
    <x v="2"/>
    <x v="0"/>
    <x v="2"/>
    <x v="15"/>
    <n v="486.18"/>
    <n v="5834.16"/>
    <x v="0"/>
    <x v="0"/>
    <d v="2026-06-30T00:00:00"/>
    <n v="5834.16"/>
  </r>
  <r>
    <x v="514"/>
    <d v="2025-07-10T00:00:00"/>
    <x v="6"/>
    <x v="2"/>
    <x v="1"/>
    <x v="4"/>
    <x v="2"/>
    <x v="3"/>
    <x v="4"/>
    <n v="480.92"/>
    <n v="3847.36"/>
    <x v="1"/>
    <x v="1"/>
    <d v="2026-03-21T00:00:00"/>
    <n v="3847.36"/>
  </r>
  <r>
    <x v="515"/>
    <d v="2025-07-10T00:00:00"/>
    <x v="6"/>
    <x v="0"/>
    <x v="2"/>
    <x v="0"/>
    <x v="2"/>
    <x v="0"/>
    <x v="15"/>
    <n v="1573.94"/>
    <n v="18887.28"/>
    <x v="0"/>
    <x v="0"/>
    <d v="2026-06-30T00:00:00"/>
    <n v="18887.28"/>
  </r>
  <r>
    <x v="516"/>
    <d v="2025-07-10T00:00:00"/>
    <x v="6"/>
    <x v="0"/>
    <x v="1"/>
    <x v="4"/>
    <x v="0"/>
    <x v="2"/>
    <x v="15"/>
    <n v="1459.54"/>
    <n v="17514.48"/>
    <x v="0"/>
    <x v="0"/>
    <d v="2026-06-30T00:00:00"/>
    <n v="17514.48"/>
  </r>
  <r>
    <x v="517"/>
    <d v="2025-07-10T00:00:00"/>
    <x v="6"/>
    <x v="2"/>
    <x v="1"/>
    <x v="0"/>
    <x v="0"/>
    <x v="0"/>
    <x v="15"/>
    <n v="511.52"/>
    <n v="6138.24"/>
    <x v="0"/>
    <x v="0"/>
    <d v="2026-06-30T00:00:00"/>
    <n v="6138.24"/>
  </r>
  <r>
    <x v="518"/>
    <d v="2025-07-11T00:00:00"/>
    <x v="6"/>
    <x v="1"/>
    <x v="1"/>
    <x v="0"/>
    <x v="2"/>
    <x v="0"/>
    <x v="15"/>
    <n v="873.42"/>
    <n v="10481.040000000001"/>
    <x v="0"/>
    <x v="0"/>
    <d v="2026-06-30T00:00:00"/>
    <n v="10481.040000000001"/>
  </r>
  <r>
    <x v="519"/>
    <d v="2025-07-12T00:00:00"/>
    <x v="6"/>
    <x v="0"/>
    <x v="2"/>
    <x v="0"/>
    <x v="2"/>
    <x v="3"/>
    <x v="15"/>
    <n v="1481.6"/>
    <n v="17779.2"/>
    <x v="0"/>
    <x v="0"/>
    <d v="2026-06-30T00:00:00"/>
    <n v="17779.2"/>
  </r>
  <r>
    <x v="520"/>
    <d v="2025-07-12T00:00:00"/>
    <x v="6"/>
    <x v="2"/>
    <x v="1"/>
    <x v="1"/>
    <x v="1"/>
    <x v="2"/>
    <x v="15"/>
    <n v="459.19"/>
    <n v="5510.28"/>
    <x v="0"/>
    <x v="0"/>
    <d v="2026-06-30T00:00:00"/>
    <n v="5510.28"/>
  </r>
  <r>
    <x v="521"/>
    <d v="2025-07-13T00:00:00"/>
    <x v="6"/>
    <x v="0"/>
    <x v="2"/>
    <x v="0"/>
    <x v="2"/>
    <x v="1"/>
    <x v="15"/>
    <n v="1545.58"/>
    <n v="18546.96"/>
    <x v="0"/>
    <x v="0"/>
    <d v="2026-06-30T00:00:00"/>
    <n v="18546.96"/>
  </r>
  <r>
    <x v="522"/>
    <d v="2025-07-13T00:00:00"/>
    <x v="6"/>
    <x v="2"/>
    <x v="0"/>
    <x v="0"/>
    <x v="2"/>
    <x v="0"/>
    <x v="12"/>
    <n v="486.83"/>
    <n v="3407.81"/>
    <x v="1"/>
    <x v="4"/>
    <d v="2026-02-24T00:00:00"/>
    <n v="3407.81"/>
  </r>
  <r>
    <x v="523"/>
    <d v="2025-07-13T00:00:00"/>
    <x v="6"/>
    <x v="1"/>
    <x v="3"/>
    <x v="2"/>
    <x v="2"/>
    <x v="3"/>
    <x v="15"/>
    <n v="961.55"/>
    <n v="11538.6"/>
    <x v="0"/>
    <x v="0"/>
    <d v="2026-06-30T00:00:00"/>
    <n v="11538.6"/>
  </r>
  <r>
    <x v="524"/>
    <d v="2025-07-14T00:00:00"/>
    <x v="6"/>
    <x v="1"/>
    <x v="1"/>
    <x v="1"/>
    <x v="0"/>
    <x v="2"/>
    <x v="15"/>
    <n v="977.67"/>
    <n v="11732.04"/>
    <x v="0"/>
    <x v="0"/>
    <d v="2026-06-30T00:00:00"/>
    <n v="11732.04"/>
  </r>
  <r>
    <x v="525"/>
    <d v="2025-07-14T00:00:00"/>
    <x v="6"/>
    <x v="2"/>
    <x v="3"/>
    <x v="1"/>
    <x v="2"/>
    <x v="0"/>
    <x v="15"/>
    <n v="458.78"/>
    <n v="5505.36"/>
    <x v="0"/>
    <x v="0"/>
    <d v="2026-06-30T00:00:00"/>
    <n v="5505.36"/>
  </r>
  <r>
    <x v="526"/>
    <d v="2025-07-14T00:00:00"/>
    <x v="6"/>
    <x v="2"/>
    <x v="1"/>
    <x v="1"/>
    <x v="2"/>
    <x v="0"/>
    <x v="15"/>
    <n v="548.39"/>
    <n v="6580.68"/>
    <x v="0"/>
    <x v="0"/>
    <d v="2026-06-30T00:00:00"/>
    <n v="6580.68"/>
  </r>
  <r>
    <x v="527"/>
    <d v="2025-07-15T00:00:00"/>
    <x v="6"/>
    <x v="0"/>
    <x v="3"/>
    <x v="0"/>
    <x v="0"/>
    <x v="2"/>
    <x v="1"/>
    <n v="1446.94"/>
    <n v="15916.34"/>
    <x v="0"/>
    <x v="0"/>
    <d v="2026-06-30T00:00:00"/>
    <n v="15916.34"/>
  </r>
  <r>
    <x v="528"/>
    <d v="2025-07-15T00:00:00"/>
    <x v="6"/>
    <x v="0"/>
    <x v="3"/>
    <x v="0"/>
    <x v="1"/>
    <x v="0"/>
    <x v="1"/>
    <n v="1539.51"/>
    <n v="16934.61"/>
    <x v="0"/>
    <x v="0"/>
    <d v="2026-06-30T00:00:00"/>
    <n v="16934.61"/>
  </r>
  <r>
    <x v="529"/>
    <d v="2025-07-15T00:00:00"/>
    <x v="6"/>
    <x v="1"/>
    <x v="0"/>
    <x v="0"/>
    <x v="2"/>
    <x v="2"/>
    <x v="14"/>
    <n v="982.92"/>
    <n v="5897.52"/>
    <x v="1"/>
    <x v="2"/>
    <d v="2026-01-01T00:00:00"/>
    <n v="5897.52"/>
  </r>
  <r>
    <x v="530"/>
    <d v="2025-07-16T00:00:00"/>
    <x v="6"/>
    <x v="0"/>
    <x v="0"/>
    <x v="0"/>
    <x v="2"/>
    <x v="0"/>
    <x v="1"/>
    <n v="1472.36"/>
    <n v="16195.96"/>
    <x v="0"/>
    <x v="0"/>
    <d v="2026-06-30T00:00:00"/>
    <n v="16195.96"/>
  </r>
  <r>
    <x v="531"/>
    <d v="2025-07-17T00:00:00"/>
    <x v="6"/>
    <x v="2"/>
    <x v="1"/>
    <x v="2"/>
    <x v="2"/>
    <x v="3"/>
    <x v="1"/>
    <n v="460.52"/>
    <n v="5065.72"/>
    <x v="0"/>
    <x v="0"/>
    <d v="2026-06-30T00:00:00"/>
    <n v="5065.72"/>
  </r>
  <r>
    <x v="532"/>
    <d v="2025-07-17T00:00:00"/>
    <x v="6"/>
    <x v="1"/>
    <x v="3"/>
    <x v="4"/>
    <x v="2"/>
    <x v="0"/>
    <x v="1"/>
    <n v="955.06"/>
    <n v="10505.66"/>
    <x v="0"/>
    <x v="0"/>
    <d v="2026-06-30T00:00:00"/>
    <n v="10505.66"/>
  </r>
  <r>
    <x v="533"/>
    <d v="2025-07-17T00:00:00"/>
    <x v="6"/>
    <x v="1"/>
    <x v="3"/>
    <x v="2"/>
    <x v="0"/>
    <x v="0"/>
    <x v="16"/>
    <n v="862.34"/>
    <n v="2587.02"/>
    <x v="1"/>
    <x v="2"/>
    <d v="2025-10-18T00:00:00"/>
    <n v="2587.02"/>
  </r>
  <r>
    <x v="534"/>
    <d v="2025-07-17T00:00:00"/>
    <x v="6"/>
    <x v="1"/>
    <x v="2"/>
    <x v="1"/>
    <x v="2"/>
    <x v="3"/>
    <x v="1"/>
    <n v="848.67"/>
    <n v="9335.3700000000008"/>
    <x v="0"/>
    <x v="0"/>
    <d v="2026-06-30T00:00:00"/>
    <n v="9335.3700000000008"/>
  </r>
  <r>
    <x v="535"/>
    <d v="2025-07-18T00:00:00"/>
    <x v="6"/>
    <x v="2"/>
    <x v="0"/>
    <x v="2"/>
    <x v="2"/>
    <x v="1"/>
    <x v="1"/>
    <n v="499.87"/>
    <n v="5498.57"/>
    <x v="0"/>
    <x v="0"/>
    <d v="2026-06-30T00:00:00"/>
    <n v="5498.57"/>
  </r>
  <r>
    <x v="536"/>
    <d v="2025-07-18T00:00:00"/>
    <x v="6"/>
    <x v="1"/>
    <x v="1"/>
    <x v="0"/>
    <x v="2"/>
    <x v="0"/>
    <x v="11"/>
    <n v="889.97"/>
    <n v="4449.8500000000004"/>
    <x v="1"/>
    <x v="2"/>
    <d v="2025-12-11T00:00:00"/>
    <n v="4449.8500000000004"/>
  </r>
  <r>
    <x v="537"/>
    <d v="2025-07-18T00:00:00"/>
    <x v="6"/>
    <x v="1"/>
    <x v="2"/>
    <x v="2"/>
    <x v="2"/>
    <x v="3"/>
    <x v="1"/>
    <n v="933.72"/>
    <n v="10270.92"/>
    <x v="1"/>
    <x v="2"/>
    <d v="2026-06-15T00:00:00"/>
    <n v="10270.92"/>
  </r>
  <r>
    <x v="538"/>
    <d v="2025-07-18T00:00:00"/>
    <x v="6"/>
    <x v="1"/>
    <x v="1"/>
    <x v="2"/>
    <x v="1"/>
    <x v="0"/>
    <x v="1"/>
    <n v="869.24"/>
    <n v="9561.64"/>
    <x v="0"/>
    <x v="0"/>
    <d v="2026-06-30T00:00:00"/>
    <n v="9561.64"/>
  </r>
  <r>
    <x v="539"/>
    <d v="2025-07-18T00:00:00"/>
    <x v="6"/>
    <x v="2"/>
    <x v="3"/>
    <x v="3"/>
    <x v="2"/>
    <x v="0"/>
    <x v="1"/>
    <n v="526.14"/>
    <n v="5787.54"/>
    <x v="0"/>
    <x v="0"/>
    <d v="2026-06-30T00:00:00"/>
    <n v="5787.54"/>
  </r>
  <r>
    <x v="540"/>
    <d v="2025-07-19T00:00:00"/>
    <x v="6"/>
    <x v="1"/>
    <x v="1"/>
    <x v="1"/>
    <x v="0"/>
    <x v="2"/>
    <x v="1"/>
    <n v="972.06"/>
    <n v="10692.66"/>
    <x v="0"/>
    <x v="0"/>
    <d v="2026-06-30T00:00:00"/>
    <n v="10692.66"/>
  </r>
  <r>
    <x v="541"/>
    <d v="2025-07-19T00:00:00"/>
    <x v="6"/>
    <x v="1"/>
    <x v="2"/>
    <x v="1"/>
    <x v="2"/>
    <x v="2"/>
    <x v="1"/>
    <n v="929.73"/>
    <n v="10227.030000000001"/>
    <x v="0"/>
    <x v="0"/>
    <d v="2026-06-30T00:00:00"/>
    <n v="10227.030000000001"/>
  </r>
  <r>
    <x v="542"/>
    <d v="2025-07-19T00:00:00"/>
    <x v="6"/>
    <x v="1"/>
    <x v="1"/>
    <x v="3"/>
    <x v="0"/>
    <x v="0"/>
    <x v="1"/>
    <n v="965.26"/>
    <n v="10617.86"/>
    <x v="0"/>
    <x v="0"/>
    <d v="2026-06-30T00:00:00"/>
    <n v="10617.86"/>
  </r>
  <r>
    <x v="543"/>
    <d v="2025-07-19T00:00:00"/>
    <x v="6"/>
    <x v="2"/>
    <x v="3"/>
    <x v="2"/>
    <x v="2"/>
    <x v="1"/>
    <x v="1"/>
    <n v="479.31"/>
    <n v="5272.41"/>
    <x v="0"/>
    <x v="0"/>
    <d v="2026-06-30T00:00:00"/>
    <n v="5272.41"/>
  </r>
  <r>
    <x v="544"/>
    <d v="2025-07-19T00:00:00"/>
    <x v="6"/>
    <x v="1"/>
    <x v="1"/>
    <x v="3"/>
    <x v="0"/>
    <x v="0"/>
    <x v="1"/>
    <n v="980.73"/>
    <n v="10788.03"/>
    <x v="0"/>
    <x v="0"/>
    <d v="2026-06-30T00:00:00"/>
    <n v="10788.03"/>
  </r>
  <r>
    <x v="545"/>
    <d v="2025-07-20T00:00:00"/>
    <x v="6"/>
    <x v="1"/>
    <x v="1"/>
    <x v="1"/>
    <x v="0"/>
    <x v="0"/>
    <x v="1"/>
    <n v="861.49"/>
    <n v="9476.39"/>
    <x v="0"/>
    <x v="0"/>
    <d v="2026-06-30T00:00:00"/>
    <n v="9476.39"/>
  </r>
  <r>
    <x v="546"/>
    <d v="2025-07-20T00:00:00"/>
    <x v="6"/>
    <x v="0"/>
    <x v="2"/>
    <x v="2"/>
    <x v="0"/>
    <x v="1"/>
    <x v="1"/>
    <n v="1548.41"/>
    <n v="17032.509999999998"/>
    <x v="0"/>
    <x v="0"/>
    <d v="2026-06-30T00:00:00"/>
    <n v="17032.509999999998"/>
  </r>
  <r>
    <x v="547"/>
    <d v="2025-07-21T00:00:00"/>
    <x v="6"/>
    <x v="1"/>
    <x v="3"/>
    <x v="0"/>
    <x v="0"/>
    <x v="2"/>
    <x v="1"/>
    <n v="833.98"/>
    <n v="9173.7800000000007"/>
    <x v="0"/>
    <x v="0"/>
    <d v="2026-06-30T00:00:00"/>
    <n v="9173.7800000000007"/>
  </r>
  <r>
    <x v="548"/>
    <d v="2025-07-21T00:00:00"/>
    <x v="6"/>
    <x v="1"/>
    <x v="2"/>
    <x v="1"/>
    <x v="2"/>
    <x v="0"/>
    <x v="1"/>
    <n v="885.07"/>
    <n v="9735.77"/>
    <x v="0"/>
    <x v="0"/>
    <d v="2026-06-30T00:00:00"/>
    <n v="9735.77"/>
  </r>
  <r>
    <x v="549"/>
    <d v="2025-07-22T00:00:00"/>
    <x v="6"/>
    <x v="2"/>
    <x v="2"/>
    <x v="3"/>
    <x v="0"/>
    <x v="3"/>
    <x v="1"/>
    <n v="528.12"/>
    <n v="5809.32"/>
    <x v="0"/>
    <x v="0"/>
    <d v="2026-06-30T00:00:00"/>
    <n v="5809.32"/>
  </r>
  <r>
    <x v="550"/>
    <d v="2025-07-22T00:00:00"/>
    <x v="6"/>
    <x v="0"/>
    <x v="0"/>
    <x v="0"/>
    <x v="2"/>
    <x v="1"/>
    <x v="1"/>
    <n v="1435.11"/>
    <n v="15786.21"/>
    <x v="0"/>
    <x v="0"/>
    <d v="2026-06-30T00:00:00"/>
    <n v="15786.21"/>
  </r>
  <r>
    <x v="551"/>
    <d v="2025-07-22T00:00:00"/>
    <x v="6"/>
    <x v="0"/>
    <x v="3"/>
    <x v="0"/>
    <x v="1"/>
    <x v="2"/>
    <x v="4"/>
    <n v="1403"/>
    <n v="11224"/>
    <x v="1"/>
    <x v="3"/>
    <d v="2026-03-08T00:00:00"/>
    <n v="11224"/>
  </r>
  <r>
    <x v="552"/>
    <d v="2025-07-22T00:00:00"/>
    <x v="6"/>
    <x v="2"/>
    <x v="3"/>
    <x v="2"/>
    <x v="0"/>
    <x v="1"/>
    <x v="1"/>
    <n v="540.19000000000005"/>
    <n v="5942.09"/>
    <x v="0"/>
    <x v="0"/>
    <d v="2026-06-30T00:00:00"/>
    <n v="5942.09"/>
  </r>
  <r>
    <x v="553"/>
    <d v="2025-07-22T00:00:00"/>
    <x v="6"/>
    <x v="2"/>
    <x v="2"/>
    <x v="3"/>
    <x v="0"/>
    <x v="2"/>
    <x v="1"/>
    <n v="531.97"/>
    <n v="5851.67"/>
    <x v="0"/>
    <x v="0"/>
    <d v="2026-06-30T00:00:00"/>
    <n v="5851.67"/>
  </r>
  <r>
    <x v="554"/>
    <d v="2025-07-22T00:00:00"/>
    <x v="6"/>
    <x v="1"/>
    <x v="0"/>
    <x v="2"/>
    <x v="2"/>
    <x v="2"/>
    <x v="5"/>
    <n v="871.45"/>
    <n v="7843.05"/>
    <x v="1"/>
    <x v="3"/>
    <d v="2026-04-22T00:00:00"/>
    <n v="7843.05"/>
  </r>
  <r>
    <x v="555"/>
    <d v="2025-07-22T00:00:00"/>
    <x v="6"/>
    <x v="0"/>
    <x v="3"/>
    <x v="1"/>
    <x v="2"/>
    <x v="0"/>
    <x v="1"/>
    <n v="1541.29"/>
    <n v="16954.189999999999"/>
    <x v="0"/>
    <x v="0"/>
    <d v="2026-06-30T00:00:00"/>
    <n v="16954.189999999999"/>
  </r>
  <r>
    <x v="556"/>
    <d v="2025-07-23T00:00:00"/>
    <x v="6"/>
    <x v="2"/>
    <x v="0"/>
    <x v="0"/>
    <x v="2"/>
    <x v="0"/>
    <x v="1"/>
    <n v="528.89"/>
    <n v="5817.79"/>
    <x v="0"/>
    <x v="0"/>
    <d v="2026-06-30T00:00:00"/>
    <n v="5817.79"/>
  </r>
  <r>
    <x v="557"/>
    <d v="2025-07-24T00:00:00"/>
    <x v="6"/>
    <x v="1"/>
    <x v="0"/>
    <x v="0"/>
    <x v="2"/>
    <x v="0"/>
    <x v="1"/>
    <n v="821.89"/>
    <n v="9040.7900000000009"/>
    <x v="0"/>
    <x v="0"/>
    <d v="2026-06-30T00:00:00"/>
    <n v="9040.7900000000009"/>
  </r>
  <r>
    <x v="558"/>
    <d v="2025-07-26T00:00:00"/>
    <x v="6"/>
    <x v="2"/>
    <x v="2"/>
    <x v="1"/>
    <x v="0"/>
    <x v="0"/>
    <x v="1"/>
    <n v="516.70000000000005"/>
    <n v="5683.7"/>
    <x v="0"/>
    <x v="0"/>
    <d v="2026-06-30T00:00:00"/>
    <n v="5683.7"/>
  </r>
  <r>
    <x v="559"/>
    <d v="2025-07-26T00:00:00"/>
    <x v="6"/>
    <x v="1"/>
    <x v="0"/>
    <x v="1"/>
    <x v="2"/>
    <x v="2"/>
    <x v="1"/>
    <n v="918.36"/>
    <n v="10101.959999999999"/>
    <x v="0"/>
    <x v="0"/>
    <d v="2026-06-30T00:00:00"/>
    <n v="10101.959999999999"/>
  </r>
  <r>
    <x v="560"/>
    <d v="2025-07-26T00:00:00"/>
    <x v="6"/>
    <x v="0"/>
    <x v="2"/>
    <x v="2"/>
    <x v="2"/>
    <x v="0"/>
    <x v="1"/>
    <n v="1475.4"/>
    <n v="16229.4"/>
    <x v="0"/>
    <x v="0"/>
    <d v="2026-06-30T00:00:00"/>
    <n v="16229.4"/>
  </r>
  <r>
    <x v="561"/>
    <d v="2025-07-26T00:00:00"/>
    <x v="6"/>
    <x v="1"/>
    <x v="3"/>
    <x v="0"/>
    <x v="1"/>
    <x v="3"/>
    <x v="1"/>
    <n v="871.61"/>
    <n v="9587.7099999999991"/>
    <x v="0"/>
    <x v="0"/>
    <d v="2026-06-30T00:00:00"/>
    <n v="9587.7099999999991"/>
  </r>
  <r>
    <x v="562"/>
    <d v="2025-07-26T00:00:00"/>
    <x v="6"/>
    <x v="0"/>
    <x v="3"/>
    <x v="2"/>
    <x v="0"/>
    <x v="2"/>
    <x v="1"/>
    <n v="1604.14"/>
    <n v="17645.54"/>
    <x v="0"/>
    <x v="0"/>
    <d v="2026-06-30T00:00:00"/>
    <n v="17645.54"/>
  </r>
  <r>
    <x v="563"/>
    <d v="2025-07-27T00:00:00"/>
    <x v="6"/>
    <x v="0"/>
    <x v="2"/>
    <x v="1"/>
    <x v="2"/>
    <x v="0"/>
    <x v="1"/>
    <n v="1421"/>
    <n v="15631"/>
    <x v="0"/>
    <x v="0"/>
    <d v="2026-06-30T00:00:00"/>
    <n v="15631"/>
  </r>
  <r>
    <x v="564"/>
    <d v="2025-07-27T00:00:00"/>
    <x v="6"/>
    <x v="1"/>
    <x v="1"/>
    <x v="0"/>
    <x v="0"/>
    <x v="0"/>
    <x v="3"/>
    <n v="849.89"/>
    <n v="3399.56"/>
    <x v="1"/>
    <x v="1"/>
    <d v="2025-11-22T00:00:00"/>
    <n v="3399.56"/>
  </r>
  <r>
    <x v="565"/>
    <d v="2025-07-28T00:00:00"/>
    <x v="6"/>
    <x v="1"/>
    <x v="1"/>
    <x v="1"/>
    <x v="2"/>
    <x v="2"/>
    <x v="12"/>
    <n v="904"/>
    <n v="6328"/>
    <x v="1"/>
    <x v="1"/>
    <d v="2026-02-21T00:00:00"/>
    <n v="6328"/>
  </r>
  <r>
    <x v="566"/>
    <d v="2025-07-28T00:00:00"/>
    <x v="6"/>
    <x v="1"/>
    <x v="2"/>
    <x v="2"/>
    <x v="2"/>
    <x v="3"/>
    <x v="11"/>
    <n v="861.23"/>
    <n v="4306.1499999999996"/>
    <x v="1"/>
    <x v="2"/>
    <d v="2026-01-10T00:00:00"/>
    <n v="4306.1499999999996"/>
  </r>
  <r>
    <x v="567"/>
    <d v="2025-07-28T00:00:00"/>
    <x v="6"/>
    <x v="1"/>
    <x v="2"/>
    <x v="1"/>
    <x v="2"/>
    <x v="2"/>
    <x v="1"/>
    <n v="833.64"/>
    <n v="9170.0400000000009"/>
    <x v="0"/>
    <x v="0"/>
    <d v="2026-06-30T00:00:00"/>
    <n v="9170.0400000000009"/>
  </r>
  <r>
    <x v="568"/>
    <d v="2025-07-28T00:00:00"/>
    <x v="6"/>
    <x v="2"/>
    <x v="0"/>
    <x v="0"/>
    <x v="2"/>
    <x v="1"/>
    <x v="1"/>
    <n v="530.4"/>
    <n v="5834.4"/>
    <x v="0"/>
    <x v="0"/>
    <d v="2026-06-30T00:00:00"/>
    <n v="5834.4"/>
  </r>
  <r>
    <x v="569"/>
    <d v="2025-07-28T00:00:00"/>
    <x v="6"/>
    <x v="0"/>
    <x v="1"/>
    <x v="4"/>
    <x v="2"/>
    <x v="2"/>
    <x v="1"/>
    <n v="1476.1"/>
    <n v="16237.1"/>
    <x v="0"/>
    <x v="0"/>
    <d v="2026-06-30T00:00:00"/>
    <n v="16237.1"/>
  </r>
  <r>
    <x v="570"/>
    <d v="2025-07-29T00:00:00"/>
    <x v="6"/>
    <x v="1"/>
    <x v="1"/>
    <x v="1"/>
    <x v="0"/>
    <x v="0"/>
    <x v="1"/>
    <n v="819.7"/>
    <n v="9016.7000000000007"/>
    <x v="0"/>
    <x v="0"/>
    <d v="2026-06-30T00:00:00"/>
    <n v="9016.7000000000007"/>
  </r>
  <r>
    <x v="571"/>
    <d v="2025-07-30T00:00:00"/>
    <x v="6"/>
    <x v="1"/>
    <x v="1"/>
    <x v="4"/>
    <x v="2"/>
    <x v="2"/>
    <x v="14"/>
    <n v="987.84"/>
    <n v="5927.04"/>
    <x v="1"/>
    <x v="2"/>
    <d v="2026-01-28T00:00:00"/>
    <n v="5927.04"/>
  </r>
  <r>
    <x v="572"/>
    <d v="2025-07-30T00:00:00"/>
    <x v="6"/>
    <x v="1"/>
    <x v="0"/>
    <x v="3"/>
    <x v="2"/>
    <x v="2"/>
    <x v="1"/>
    <n v="833.64"/>
    <n v="9170.0400000000009"/>
    <x v="0"/>
    <x v="0"/>
    <d v="2026-06-30T00:00:00"/>
    <n v="9170.0400000000009"/>
  </r>
  <r>
    <x v="573"/>
    <d v="2025-07-31T00:00:00"/>
    <x v="6"/>
    <x v="2"/>
    <x v="1"/>
    <x v="2"/>
    <x v="2"/>
    <x v="1"/>
    <x v="1"/>
    <n v="455.59"/>
    <n v="5011.49"/>
    <x v="0"/>
    <x v="0"/>
    <d v="2026-06-30T00:00:00"/>
    <n v="5011.49"/>
  </r>
  <r>
    <x v="574"/>
    <d v="2025-07-31T00:00:00"/>
    <x v="6"/>
    <x v="1"/>
    <x v="2"/>
    <x v="3"/>
    <x v="2"/>
    <x v="0"/>
    <x v="8"/>
    <n v="936.18"/>
    <n v="9361.7999999999993"/>
    <x v="1"/>
    <x v="2"/>
    <d v="2026-05-17T00:00:00"/>
    <n v="9361.7999999999993"/>
  </r>
  <r>
    <x v="575"/>
    <d v="2025-07-31T00:00:00"/>
    <x v="6"/>
    <x v="2"/>
    <x v="3"/>
    <x v="2"/>
    <x v="2"/>
    <x v="0"/>
    <x v="1"/>
    <n v="481.29"/>
    <n v="5294.19"/>
    <x v="1"/>
    <x v="2"/>
    <d v="2026-06-30T00:00:00"/>
    <n v="5294.19"/>
  </r>
  <r>
    <x v="576"/>
    <d v="2025-08-01T00:00:00"/>
    <x v="7"/>
    <x v="1"/>
    <x v="1"/>
    <x v="0"/>
    <x v="1"/>
    <x v="3"/>
    <x v="1"/>
    <n v="863.46"/>
    <n v="9498.06"/>
    <x v="0"/>
    <x v="0"/>
    <d v="2026-06-30T00:00:00"/>
    <n v="9498.06"/>
  </r>
  <r>
    <x v="577"/>
    <d v="2025-08-01T00:00:00"/>
    <x v="7"/>
    <x v="2"/>
    <x v="1"/>
    <x v="4"/>
    <x v="0"/>
    <x v="0"/>
    <x v="1"/>
    <n v="490.35"/>
    <n v="5393.85"/>
    <x v="0"/>
    <x v="0"/>
    <d v="2026-06-30T00:00:00"/>
    <n v="5393.85"/>
  </r>
  <r>
    <x v="578"/>
    <d v="2025-08-02T00:00:00"/>
    <x v="7"/>
    <x v="2"/>
    <x v="1"/>
    <x v="3"/>
    <x v="2"/>
    <x v="0"/>
    <x v="1"/>
    <n v="513.01"/>
    <n v="5643.11"/>
    <x v="0"/>
    <x v="0"/>
    <d v="2026-06-30T00:00:00"/>
    <n v="5643.11"/>
  </r>
  <r>
    <x v="579"/>
    <d v="2025-08-03T00:00:00"/>
    <x v="7"/>
    <x v="1"/>
    <x v="3"/>
    <x v="0"/>
    <x v="2"/>
    <x v="3"/>
    <x v="13"/>
    <n v="818.66"/>
    <n v="818.66"/>
    <x v="1"/>
    <x v="5"/>
    <d v="2025-09-13T00:00:00"/>
    <n v="818.66"/>
  </r>
  <r>
    <x v="580"/>
    <d v="2025-08-03T00:00:00"/>
    <x v="7"/>
    <x v="1"/>
    <x v="0"/>
    <x v="0"/>
    <x v="0"/>
    <x v="3"/>
    <x v="1"/>
    <n v="984.23"/>
    <n v="10826.53"/>
    <x v="0"/>
    <x v="0"/>
    <d v="2026-06-30T00:00:00"/>
    <n v="10826.53"/>
  </r>
  <r>
    <x v="581"/>
    <d v="2025-08-03T00:00:00"/>
    <x v="7"/>
    <x v="1"/>
    <x v="0"/>
    <x v="3"/>
    <x v="2"/>
    <x v="1"/>
    <x v="3"/>
    <n v="962.89"/>
    <n v="3851.56"/>
    <x v="1"/>
    <x v="3"/>
    <d v="2025-12-05T00:00:00"/>
    <n v="3851.56"/>
  </r>
  <r>
    <x v="582"/>
    <d v="2025-08-03T00:00:00"/>
    <x v="7"/>
    <x v="0"/>
    <x v="1"/>
    <x v="0"/>
    <x v="2"/>
    <x v="0"/>
    <x v="1"/>
    <n v="1517.21"/>
    <n v="16689.310000000001"/>
    <x v="0"/>
    <x v="0"/>
    <d v="2026-06-30T00:00:00"/>
    <n v="16689.310000000001"/>
  </r>
  <r>
    <x v="583"/>
    <d v="2025-08-04T00:00:00"/>
    <x v="7"/>
    <x v="1"/>
    <x v="2"/>
    <x v="1"/>
    <x v="2"/>
    <x v="0"/>
    <x v="1"/>
    <n v="945.28"/>
    <n v="10398.08"/>
    <x v="0"/>
    <x v="0"/>
    <d v="2026-06-30T00:00:00"/>
    <n v="10398.08"/>
  </r>
  <r>
    <x v="584"/>
    <d v="2025-08-04T00:00:00"/>
    <x v="7"/>
    <x v="1"/>
    <x v="0"/>
    <x v="4"/>
    <x v="0"/>
    <x v="1"/>
    <x v="1"/>
    <n v="943.28"/>
    <n v="10376.08"/>
    <x v="0"/>
    <x v="0"/>
    <d v="2026-06-30T00:00:00"/>
    <n v="10376.08"/>
  </r>
  <r>
    <x v="585"/>
    <d v="2025-08-04T00:00:00"/>
    <x v="7"/>
    <x v="1"/>
    <x v="2"/>
    <x v="0"/>
    <x v="2"/>
    <x v="1"/>
    <x v="1"/>
    <n v="826.37"/>
    <n v="9090.07"/>
    <x v="0"/>
    <x v="0"/>
    <d v="2026-06-30T00:00:00"/>
    <n v="9090.07"/>
  </r>
  <r>
    <x v="586"/>
    <d v="2025-08-04T00:00:00"/>
    <x v="7"/>
    <x v="1"/>
    <x v="2"/>
    <x v="2"/>
    <x v="0"/>
    <x v="0"/>
    <x v="1"/>
    <n v="835.84"/>
    <n v="9194.24"/>
    <x v="0"/>
    <x v="0"/>
    <d v="2026-06-30T00:00:00"/>
    <n v="9194.24"/>
  </r>
  <r>
    <x v="587"/>
    <d v="2025-08-05T00:00:00"/>
    <x v="7"/>
    <x v="0"/>
    <x v="2"/>
    <x v="3"/>
    <x v="2"/>
    <x v="2"/>
    <x v="1"/>
    <n v="1427.81"/>
    <n v="15705.91"/>
    <x v="0"/>
    <x v="0"/>
    <d v="2026-06-30T00:00:00"/>
    <n v="15705.91"/>
  </r>
  <r>
    <x v="588"/>
    <d v="2025-08-05T00:00:00"/>
    <x v="7"/>
    <x v="2"/>
    <x v="2"/>
    <x v="1"/>
    <x v="2"/>
    <x v="1"/>
    <x v="1"/>
    <n v="502.42"/>
    <n v="5526.62"/>
    <x v="0"/>
    <x v="0"/>
    <d v="2026-06-30T00:00:00"/>
    <n v="5526.62"/>
  </r>
  <r>
    <x v="589"/>
    <d v="2025-08-05T00:00:00"/>
    <x v="7"/>
    <x v="1"/>
    <x v="1"/>
    <x v="1"/>
    <x v="0"/>
    <x v="2"/>
    <x v="1"/>
    <n v="979.69"/>
    <n v="10776.59"/>
    <x v="0"/>
    <x v="0"/>
    <d v="2026-06-30T00:00:00"/>
    <n v="10776.59"/>
  </r>
  <r>
    <x v="590"/>
    <d v="2025-08-06T00:00:00"/>
    <x v="7"/>
    <x v="0"/>
    <x v="3"/>
    <x v="0"/>
    <x v="2"/>
    <x v="0"/>
    <x v="1"/>
    <n v="1478.08"/>
    <n v="16258.88"/>
    <x v="0"/>
    <x v="0"/>
    <d v="2026-06-30T00:00:00"/>
    <n v="16258.88"/>
  </r>
  <r>
    <x v="591"/>
    <d v="2025-08-06T00:00:00"/>
    <x v="7"/>
    <x v="2"/>
    <x v="0"/>
    <x v="1"/>
    <x v="2"/>
    <x v="0"/>
    <x v="5"/>
    <n v="477.69"/>
    <n v="4299.21"/>
    <x v="1"/>
    <x v="1"/>
    <d v="2026-04-30T00:00:00"/>
    <n v="4299.21"/>
  </r>
  <r>
    <x v="592"/>
    <d v="2025-08-07T00:00:00"/>
    <x v="7"/>
    <x v="1"/>
    <x v="1"/>
    <x v="3"/>
    <x v="2"/>
    <x v="0"/>
    <x v="14"/>
    <n v="875.38"/>
    <n v="5252.28"/>
    <x v="1"/>
    <x v="1"/>
    <d v="2026-02-09T00:00:00"/>
    <n v="5252.28"/>
  </r>
  <r>
    <x v="593"/>
    <d v="2025-08-07T00:00:00"/>
    <x v="7"/>
    <x v="2"/>
    <x v="1"/>
    <x v="0"/>
    <x v="2"/>
    <x v="0"/>
    <x v="8"/>
    <n v="533.66999999999996"/>
    <n v="5336.7"/>
    <x v="1"/>
    <x v="4"/>
    <d v="2026-06-05T00:00:00"/>
    <n v="5336.7"/>
  </r>
  <r>
    <x v="594"/>
    <d v="2025-08-07T00:00:00"/>
    <x v="7"/>
    <x v="2"/>
    <x v="1"/>
    <x v="1"/>
    <x v="0"/>
    <x v="0"/>
    <x v="12"/>
    <n v="492.65"/>
    <n v="3448.55"/>
    <x v="1"/>
    <x v="4"/>
    <d v="2026-03-21T00:00:00"/>
    <n v="3448.55"/>
  </r>
  <r>
    <x v="595"/>
    <d v="2025-08-07T00:00:00"/>
    <x v="7"/>
    <x v="2"/>
    <x v="3"/>
    <x v="0"/>
    <x v="0"/>
    <x v="2"/>
    <x v="1"/>
    <n v="538.08000000000004"/>
    <n v="5918.88"/>
    <x v="0"/>
    <x v="0"/>
    <d v="2026-06-30T00:00:00"/>
    <n v="5918.88"/>
  </r>
  <r>
    <x v="596"/>
    <d v="2025-08-08T00:00:00"/>
    <x v="7"/>
    <x v="1"/>
    <x v="0"/>
    <x v="0"/>
    <x v="2"/>
    <x v="1"/>
    <x v="3"/>
    <n v="853.96"/>
    <n v="3415.84"/>
    <x v="1"/>
    <x v="1"/>
    <d v="2025-12-13T00:00:00"/>
    <n v="3415.84"/>
  </r>
  <r>
    <x v="597"/>
    <d v="2025-08-09T00:00:00"/>
    <x v="7"/>
    <x v="2"/>
    <x v="1"/>
    <x v="0"/>
    <x v="2"/>
    <x v="0"/>
    <x v="1"/>
    <n v="539.71"/>
    <n v="5936.81"/>
    <x v="0"/>
    <x v="0"/>
    <d v="2026-06-30T00:00:00"/>
    <n v="5936.81"/>
  </r>
  <r>
    <x v="598"/>
    <d v="2025-08-09T00:00:00"/>
    <x v="7"/>
    <x v="1"/>
    <x v="1"/>
    <x v="1"/>
    <x v="1"/>
    <x v="2"/>
    <x v="1"/>
    <n v="821.02"/>
    <n v="9031.2199999999993"/>
    <x v="0"/>
    <x v="0"/>
    <d v="2026-06-30T00:00:00"/>
    <n v="9031.2199999999993"/>
  </r>
  <r>
    <x v="599"/>
    <d v="2025-08-09T00:00:00"/>
    <x v="7"/>
    <x v="1"/>
    <x v="2"/>
    <x v="1"/>
    <x v="0"/>
    <x v="0"/>
    <x v="14"/>
    <n v="856.31"/>
    <n v="5137.8599999999997"/>
    <x v="1"/>
    <x v="4"/>
    <d v="2026-02-17T00:00:00"/>
    <n v="5137.8599999999997"/>
  </r>
  <r>
    <x v="600"/>
    <d v="2025-08-10T00:00:00"/>
    <x v="7"/>
    <x v="2"/>
    <x v="1"/>
    <x v="3"/>
    <x v="2"/>
    <x v="1"/>
    <x v="1"/>
    <n v="502.44"/>
    <n v="5526.84"/>
    <x v="0"/>
    <x v="0"/>
    <d v="2026-06-30T00:00:00"/>
    <n v="5526.84"/>
  </r>
  <r>
    <x v="601"/>
    <d v="2025-08-10T00:00:00"/>
    <x v="7"/>
    <x v="2"/>
    <x v="1"/>
    <x v="1"/>
    <x v="0"/>
    <x v="0"/>
    <x v="8"/>
    <n v="517.84"/>
    <n v="5178.3999999999996"/>
    <x v="1"/>
    <x v="4"/>
    <d v="2026-06-20T00:00:00"/>
    <n v="5178.3999999999996"/>
  </r>
  <r>
    <x v="602"/>
    <d v="2025-08-10T00:00:00"/>
    <x v="7"/>
    <x v="1"/>
    <x v="1"/>
    <x v="0"/>
    <x v="1"/>
    <x v="0"/>
    <x v="11"/>
    <n v="895.99"/>
    <n v="4479.95"/>
    <x v="1"/>
    <x v="5"/>
    <d v="2026-01-12T00:00:00"/>
    <n v="4479.95"/>
  </r>
  <r>
    <x v="603"/>
    <d v="2025-08-12T00:00:00"/>
    <x v="7"/>
    <x v="2"/>
    <x v="2"/>
    <x v="3"/>
    <x v="2"/>
    <x v="2"/>
    <x v="1"/>
    <n v="523.62"/>
    <n v="5759.82"/>
    <x v="0"/>
    <x v="0"/>
    <d v="2026-06-30T00:00:00"/>
    <n v="5759.82"/>
  </r>
  <r>
    <x v="604"/>
    <d v="2025-08-12T00:00:00"/>
    <x v="7"/>
    <x v="2"/>
    <x v="3"/>
    <x v="4"/>
    <x v="2"/>
    <x v="0"/>
    <x v="1"/>
    <n v="524.85"/>
    <n v="5773.35"/>
    <x v="0"/>
    <x v="0"/>
    <d v="2026-06-30T00:00:00"/>
    <n v="5773.35"/>
  </r>
  <r>
    <x v="605"/>
    <d v="2025-08-12T00:00:00"/>
    <x v="7"/>
    <x v="2"/>
    <x v="0"/>
    <x v="1"/>
    <x v="2"/>
    <x v="0"/>
    <x v="1"/>
    <n v="456.55"/>
    <n v="5022.05"/>
    <x v="0"/>
    <x v="0"/>
    <d v="2026-06-30T00:00:00"/>
    <n v="5022.05"/>
  </r>
  <r>
    <x v="606"/>
    <d v="2025-08-12T00:00:00"/>
    <x v="7"/>
    <x v="2"/>
    <x v="1"/>
    <x v="3"/>
    <x v="0"/>
    <x v="0"/>
    <x v="1"/>
    <n v="484.19"/>
    <n v="5326.09"/>
    <x v="0"/>
    <x v="0"/>
    <d v="2026-06-30T00:00:00"/>
    <n v="5326.09"/>
  </r>
  <r>
    <x v="607"/>
    <d v="2025-08-13T00:00:00"/>
    <x v="7"/>
    <x v="1"/>
    <x v="2"/>
    <x v="0"/>
    <x v="0"/>
    <x v="0"/>
    <x v="1"/>
    <n v="955.4"/>
    <n v="10509.4"/>
    <x v="0"/>
    <x v="0"/>
    <d v="2026-06-30T00:00:00"/>
    <n v="10509.4"/>
  </r>
  <r>
    <x v="608"/>
    <d v="2025-08-13T00:00:00"/>
    <x v="7"/>
    <x v="2"/>
    <x v="0"/>
    <x v="4"/>
    <x v="2"/>
    <x v="2"/>
    <x v="1"/>
    <n v="504.28"/>
    <n v="5547.08"/>
    <x v="0"/>
    <x v="0"/>
    <d v="2026-06-30T00:00:00"/>
    <n v="5547.08"/>
  </r>
  <r>
    <x v="609"/>
    <d v="2025-08-13T00:00:00"/>
    <x v="7"/>
    <x v="2"/>
    <x v="2"/>
    <x v="2"/>
    <x v="2"/>
    <x v="1"/>
    <x v="1"/>
    <n v="521.04999999999995"/>
    <n v="5731.55"/>
    <x v="0"/>
    <x v="0"/>
    <d v="2026-06-30T00:00:00"/>
    <n v="5731.55"/>
  </r>
  <r>
    <x v="610"/>
    <d v="2025-08-13T00:00:00"/>
    <x v="7"/>
    <x v="1"/>
    <x v="3"/>
    <x v="4"/>
    <x v="0"/>
    <x v="0"/>
    <x v="1"/>
    <n v="898.7"/>
    <n v="9885.7000000000007"/>
    <x v="0"/>
    <x v="0"/>
    <d v="2026-06-30T00:00:00"/>
    <n v="9885.7000000000007"/>
  </r>
  <r>
    <x v="611"/>
    <d v="2025-08-13T00:00:00"/>
    <x v="7"/>
    <x v="1"/>
    <x v="1"/>
    <x v="0"/>
    <x v="0"/>
    <x v="2"/>
    <x v="1"/>
    <n v="885.47"/>
    <n v="9740.17"/>
    <x v="0"/>
    <x v="0"/>
    <d v="2026-06-30T00:00:00"/>
    <n v="9740.17"/>
  </r>
  <r>
    <x v="612"/>
    <d v="2025-08-13T00:00:00"/>
    <x v="7"/>
    <x v="0"/>
    <x v="2"/>
    <x v="2"/>
    <x v="0"/>
    <x v="1"/>
    <x v="1"/>
    <n v="1496.25"/>
    <n v="16458.75"/>
    <x v="0"/>
    <x v="0"/>
    <d v="2026-06-30T00:00:00"/>
    <n v="16458.75"/>
  </r>
  <r>
    <x v="613"/>
    <d v="2025-08-14T00:00:00"/>
    <x v="7"/>
    <x v="0"/>
    <x v="0"/>
    <x v="0"/>
    <x v="0"/>
    <x v="3"/>
    <x v="1"/>
    <n v="1425.41"/>
    <n v="15679.51"/>
    <x v="0"/>
    <x v="0"/>
    <d v="2026-06-30T00:00:00"/>
    <n v="15679.51"/>
  </r>
  <r>
    <x v="614"/>
    <d v="2025-08-15T00:00:00"/>
    <x v="7"/>
    <x v="1"/>
    <x v="1"/>
    <x v="1"/>
    <x v="0"/>
    <x v="0"/>
    <x v="8"/>
    <n v="857.78"/>
    <n v="8577.7999999999993"/>
    <x v="0"/>
    <x v="0"/>
    <d v="2026-06-30T00:00:00"/>
    <n v="8577.7999999999993"/>
  </r>
  <r>
    <x v="615"/>
    <d v="2025-08-15T00:00:00"/>
    <x v="7"/>
    <x v="1"/>
    <x v="1"/>
    <x v="0"/>
    <x v="0"/>
    <x v="0"/>
    <x v="8"/>
    <n v="885.61"/>
    <n v="8856.1"/>
    <x v="0"/>
    <x v="0"/>
    <d v="2026-06-30T00:00:00"/>
    <n v="8856.1"/>
  </r>
  <r>
    <x v="616"/>
    <d v="2025-08-16T00:00:00"/>
    <x v="7"/>
    <x v="2"/>
    <x v="1"/>
    <x v="0"/>
    <x v="2"/>
    <x v="0"/>
    <x v="8"/>
    <n v="508.74"/>
    <n v="5087.3999999999996"/>
    <x v="0"/>
    <x v="0"/>
    <d v="2026-06-30T00:00:00"/>
    <n v="5087.3999999999996"/>
  </r>
  <r>
    <x v="617"/>
    <d v="2025-08-17T00:00:00"/>
    <x v="7"/>
    <x v="1"/>
    <x v="0"/>
    <x v="0"/>
    <x v="2"/>
    <x v="2"/>
    <x v="8"/>
    <n v="877.56"/>
    <n v="8775.6"/>
    <x v="0"/>
    <x v="0"/>
    <d v="2026-06-30T00:00:00"/>
    <n v="8775.6"/>
  </r>
  <r>
    <x v="618"/>
    <d v="2025-08-17T00:00:00"/>
    <x v="7"/>
    <x v="1"/>
    <x v="2"/>
    <x v="3"/>
    <x v="2"/>
    <x v="0"/>
    <x v="8"/>
    <n v="811.3"/>
    <n v="8113"/>
    <x v="0"/>
    <x v="0"/>
    <d v="2026-06-30T00:00:00"/>
    <n v="8113"/>
  </r>
  <r>
    <x v="619"/>
    <d v="2025-08-18T00:00:00"/>
    <x v="7"/>
    <x v="1"/>
    <x v="0"/>
    <x v="4"/>
    <x v="2"/>
    <x v="1"/>
    <x v="8"/>
    <n v="892.32"/>
    <n v="8923.2000000000007"/>
    <x v="0"/>
    <x v="0"/>
    <d v="2026-06-30T00:00:00"/>
    <n v="8923.2000000000007"/>
  </r>
  <r>
    <x v="620"/>
    <d v="2025-08-18T00:00:00"/>
    <x v="7"/>
    <x v="1"/>
    <x v="0"/>
    <x v="1"/>
    <x v="2"/>
    <x v="0"/>
    <x v="12"/>
    <n v="931.37"/>
    <n v="6519.59"/>
    <x v="1"/>
    <x v="4"/>
    <d v="2026-03-27T00:00:00"/>
    <n v="6519.59"/>
  </r>
  <r>
    <x v="621"/>
    <d v="2025-08-18T00:00:00"/>
    <x v="7"/>
    <x v="0"/>
    <x v="2"/>
    <x v="2"/>
    <x v="1"/>
    <x v="1"/>
    <x v="8"/>
    <n v="1563.97"/>
    <n v="15639.7"/>
    <x v="0"/>
    <x v="0"/>
    <d v="2026-06-30T00:00:00"/>
    <n v="15639.7"/>
  </r>
  <r>
    <x v="622"/>
    <d v="2025-08-18T00:00:00"/>
    <x v="7"/>
    <x v="0"/>
    <x v="1"/>
    <x v="1"/>
    <x v="0"/>
    <x v="1"/>
    <x v="8"/>
    <n v="1540.48"/>
    <n v="15404.8"/>
    <x v="0"/>
    <x v="0"/>
    <d v="2026-06-30T00:00:00"/>
    <n v="15404.8"/>
  </r>
  <r>
    <x v="623"/>
    <d v="2025-08-19T00:00:00"/>
    <x v="7"/>
    <x v="0"/>
    <x v="3"/>
    <x v="1"/>
    <x v="2"/>
    <x v="0"/>
    <x v="8"/>
    <n v="1380.75"/>
    <n v="13807.5"/>
    <x v="1"/>
    <x v="3"/>
    <d v="2026-06-09T00:00:00"/>
    <n v="13807.5"/>
  </r>
  <r>
    <x v="624"/>
    <d v="2025-08-19T00:00:00"/>
    <x v="7"/>
    <x v="0"/>
    <x v="2"/>
    <x v="0"/>
    <x v="2"/>
    <x v="0"/>
    <x v="8"/>
    <n v="1349.42"/>
    <n v="13494.2"/>
    <x v="0"/>
    <x v="0"/>
    <d v="2026-06-30T00:00:00"/>
    <n v="13494.2"/>
  </r>
  <r>
    <x v="625"/>
    <d v="2025-08-20T00:00:00"/>
    <x v="7"/>
    <x v="1"/>
    <x v="1"/>
    <x v="4"/>
    <x v="2"/>
    <x v="0"/>
    <x v="8"/>
    <n v="815.79"/>
    <n v="8157.9"/>
    <x v="0"/>
    <x v="0"/>
    <d v="2026-06-30T00:00:00"/>
    <n v="8157.9"/>
  </r>
  <r>
    <x v="626"/>
    <d v="2025-08-20T00:00:00"/>
    <x v="7"/>
    <x v="2"/>
    <x v="1"/>
    <x v="0"/>
    <x v="2"/>
    <x v="2"/>
    <x v="8"/>
    <n v="545.80999999999995"/>
    <n v="5458.1"/>
    <x v="0"/>
    <x v="0"/>
    <d v="2026-06-30T00:00:00"/>
    <n v="5458.1"/>
  </r>
  <r>
    <x v="627"/>
    <d v="2025-08-20T00:00:00"/>
    <x v="7"/>
    <x v="1"/>
    <x v="1"/>
    <x v="4"/>
    <x v="2"/>
    <x v="2"/>
    <x v="8"/>
    <n v="939.24"/>
    <n v="9392.4"/>
    <x v="0"/>
    <x v="0"/>
    <d v="2026-06-30T00:00:00"/>
    <n v="9392.4"/>
  </r>
  <r>
    <x v="628"/>
    <d v="2025-08-20T00:00:00"/>
    <x v="7"/>
    <x v="2"/>
    <x v="1"/>
    <x v="3"/>
    <x v="0"/>
    <x v="3"/>
    <x v="8"/>
    <n v="486.72"/>
    <n v="4867.2"/>
    <x v="0"/>
    <x v="0"/>
    <d v="2026-06-30T00:00:00"/>
    <n v="4867.2"/>
  </r>
  <r>
    <x v="629"/>
    <d v="2025-08-20T00:00:00"/>
    <x v="7"/>
    <x v="1"/>
    <x v="1"/>
    <x v="2"/>
    <x v="1"/>
    <x v="0"/>
    <x v="8"/>
    <n v="822.64"/>
    <n v="8226.4"/>
    <x v="0"/>
    <x v="0"/>
    <d v="2026-06-30T00:00:00"/>
    <n v="8226.4"/>
  </r>
  <r>
    <x v="630"/>
    <d v="2025-08-20T00:00:00"/>
    <x v="7"/>
    <x v="2"/>
    <x v="1"/>
    <x v="2"/>
    <x v="2"/>
    <x v="2"/>
    <x v="8"/>
    <n v="453.41"/>
    <n v="4534.1000000000004"/>
    <x v="0"/>
    <x v="0"/>
    <d v="2026-06-30T00:00:00"/>
    <n v="4534.1000000000004"/>
  </r>
  <r>
    <x v="631"/>
    <d v="2025-08-20T00:00:00"/>
    <x v="7"/>
    <x v="0"/>
    <x v="2"/>
    <x v="1"/>
    <x v="2"/>
    <x v="0"/>
    <x v="8"/>
    <n v="1440.14"/>
    <n v="14401.4"/>
    <x v="0"/>
    <x v="0"/>
    <d v="2026-06-30T00:00:00"/>
    <n v="14401.4"/>
  </r>
  <r>
    <x v="632"/>
    <d v="2025-08-21T00:00:00"/>
    <x v="7"/>
    <x v="0"/>
    <x v="0"/>
    <x v="4"/>
    <x v="1"/>
    <x v="0"/>
    <x v="13"/>
    <n v="1521.33"/>
    <n v="1521.33"/>
    <x v="1"/>
    <x v="3"/>
    <d v="2025-10-03T00:00:00"/>
    <n v="1521.33"/>
  </r>
  <r>
    <x v="633"/>
    <d v="2025-08-21T00:00:00"/>
    <x v="7"/>
    <x v="2"/>
    <x v="2"/>
    <x v="0"/>
    <x v="1"/>
    <x v="1"/>
    <x v="8"/>
    <n v="488.24"/>
    <n v="4882.3999999999996"/>
    <x v="0"/>
    <x v="0"/>
    <d v="2026-06-30T00:00:00"/>
    <n v="4882.3999999999996"/>
  </r>
  <r>
    <x v="634"/>
    <d v="2025-08-21T00:00:00"/>
    <x v="7"/>
    <x v="0"/>
    <x v="3"/>
    <x v="3"/>
    <x v="2"/>
    <x v="0"/>
    <x v="8"/>
    <n v="1556.23"/>
    <n v="15562.3"/>
    <x v="1"/>
    <x v="5"/>
    <d v="2026-06-23T00:00:00"/>
    <n v="15562.3"/>
  </r>
  <r>
    <x v="635"/>
    <d v="2025-08-21T00:00:00"/>
    <x v="7"/>
    <x v="1"/>
    <x v="1"/>
    <x v="2"/>
    <x v="2"/>
    <x v="0"/>
    <x v="11"/>
    <n v="857.36"/>
    <n v="4286.8"/>
    <x v="1"/>
    <x v="1"/>
    <d v="2026-02-03T00:00:00"/>
    <n v="4286.8"/>
  </r>
  <r>
    <x v="636"/>
    <d v="2025-08-22T00:00:00"/>
    <x v="7"/>
    <x v="2"/>
    <x v="3"/>
    <x v="0"/>
    <x v="2"/>
    <x v="3"/>
    <x v="8"/>
    <n v="525.21"/>
    <n v="5252.1"/>
    <x v="0"/>
    <x v="0"/>
    <d v="2026-06-30T00:00:00"/>
    <n v="5252.1"/>
  </r>
  <r>
    <x v="637"/>
    <d v="2025-08-23T00:00:00"/>
    <x v="7"/>
    <x v="2"/>
    <x v="1"/>
    <x v="3"/>
    <x v="1"/>
    <x v="0"/>
    <x v="8"/>
    <n v="477.92"/>
    <n v="4779.2"/>
    <x v="0"/>
    <x v="0"/>
    <d v="2026-06-30T00:00:00"/>
    <n v="4779.2"/>
  </r>
  <r>
    <x v="638"/>
    <d v="2025-08-23T00:00:00"/>
    <x v="7"/>
    <x v="2"/>
    <x v="1"/>
    <x v="1"/>
    <x v="1"/>
    <x v="3"/>
    <x v="11"/>
    <n v="463.03"/>
    <n v="2315.15"/>
    <x v="1"/>
    <x v="5"/>
    <d v="2026-01-31T00:00:00"/>
    <n v="2315.15"/>
  </r>
  <r>
    <x v="639"/>
    <d v="2025-08-24T00:00:00"/>
    <x v="7"/>
    <x v="1"/>
    <x v="1"/>
    <x v="2"/>
    <x v="2"/>
    <x v="2"/>
    <x v="8"/>
    <n v="973.66"/>
    <n v="9736.6"/>
    <x v="0"/>
    <x v="0"/>
    <d v="2026-06-30T00:00:00"/>
    <n v="9736.6"/>
  </r>
  <r>
    <x v="640"/>
    <d v="2025-08-25T00:00:00"/>
    <x v="7"/>
    <x v="2"/>
    <x v="1"/>
    <x v="0"/>
    <x v="2"/>
    <x v="0"/>
    <x v="8"/>
    <n v="522.45000000000005"/>
    <n v="5224.5"/>
    <x v="0"/>
    <x v="0"/>
    <d v="2026-06-30T00:00:00"/>
    <n v="5224.5"/>
  </r>
  <r>
    <x v="641"/>
    <d v="2025-08-25T00:00:00"/>
    <x v="7"/>
    <x v="2"/>
    <x v="1"/>
    <x v="1"/>
    <x v="2"/>
    <x v="2"/>
    <x v="11"/>
    <n v="540.58000000000004"/>
    <n v="2702.9"/>
    <x v="1"/>
    <x v="4"/>
    <d v="2026-01-25T00:00:00"/>
    <n v="2702.9"/>
  </r>
  <r>
    <x v="642"/>
    <d v="2025-08-26T00:00:00"/>
    <x v="7"/>
    <x v="1"/>
    <x v="1"/>
    <x v="3"/>
    <x v="2"/>
    <x v="0"/>
    <x v="8"/>
    <n v="828.86"/>
    <n v="8288.6"/>
    <x v="0"/>
    <x v="0"/>
    <d v="2026-06-30T00:00:00"/>
    <n v="8288.6"/>
  </r>
  <r>
    <x v="643"/>
    <d v="2025-08-26T00:00:00"/>
    <x v="7"/>
    <x v="0"/>
    <x v="2"/>
    <x v="4"/>
    <x v="1"/>
    <x v="3"/>
    <x v="8"/>
    <n v="1487.4"/>
    <n v="14874"/>
    <x v="0"/>
    <x v="0"/>
    <d v="2026-06-30T00:00:00"/>
    <n v="14874"/>
  </r>
  <r>
    <x v="644"/>
    <d v="2025-08-26T00:00:00"/>
    <x v="7"/>
    <x v="2"/>
    <x v="3"/>
    <x v="3"/>
    <x v="2"/>
    <x v="0"/>
    <x v="4"/>
    <n v="538.61"/>
    <n v="4308.88"/>
    <x v="1"/>
    <x v="3"/>
    <d v="2026-05-09T00:00:00"/>
    <n v="4308.88"/>
  </r>
  <r>
    <x v="645"/>
    <d v="2025-08-26T00:00:00"/>
    <x v="7"/>
    <x v="1"/>
    <x v="2"/>
    <x v="0"/>
    <x v="2"/>
    <x v="1"/>
    <x v="8"/>
    <n v="830.47"/>
    <n v="8304.7000000000007"/>
    <x v="0"/>
    <x v="0"/>
    <d v="2026-06-30T00:00:00"/>
    <n v="8304.7000000000007"/>
  </r>
  <r>
    <x v="646"/>
    <d v="2025-08-27T00:00:00"/>
    <x v="7"/>
    <x v="0"/>
    <x v="1"/>
    <x v="4"/>
    <x v="2"/>
    <x v="2"/>
    <x v="8"/>
    <n v="1382.89"/>
    <n v="13828.9"/>
    <x v="0"/>
    <x v="0"/>
    <d v="2026-06-30T00:00:00"/>
    <n v="13828.9"/>
  </r>
  <r>
    <x v="647"/>
    <d v="2025-08-27T00:00:00"/>
    <x v="7"/>
    <x v="0"/>
    <x v="0"/>
    <x v="1"/>
    <x v="2"/>
    <x v="2"/>
    <x v="14"/>
    <n v="1541.47"/>
    <n v="9248.82"/>
    <x v="1"/>
    <x v="2"/>
    <d v="2026-03-03T00:00:00"/>
    <n v="9248.82"/>
  </r>
  <r>
    <x v="648"/>
    <d v="2025-08-27T00:00:00"/>
    <x v="7"/>
    <x v="2"/>
    <x v="2"/>
    <x v="3"/>
    <x v="2"/>
    <x v="3"/>
    <x v="8"/>
    <n v="537.77"/>
    <n v="5377.7"/>
    <x v="0"/>
    <x v="0"/>
    <d v="2026-06-30T00:00:00"/>
    <n v="5377.7"/>
  </r>
  <r>
    <x v="649"/>
    <d v="2025-08-27T00:00:00"/>
    <x v="7"/>
    <x v="0"/>
    <x v="1"/>
    <x v="0"/>
    <x v="2"/>
    <x v="0"/>
    <x v="8"/>
    <n v="1565.24"/>
    <n v="15652.4"/>
    <x v="0"/>
    <x v="0"/>
    <d v="2026-06-30T00:00:00"/>
    <n v="15652.4"/>
  </r>
  <r>
    <x v="650"/>
    <d v="2025-08-28T00:00:00"/>
    <x v="7"/>
    <x v="0"/>
    <x v="1"/>
    <x v="3"/>
    <x v="2"/>
    <x v="0"/>
    <x v="8"/>
    <n v="1620.6"/>
    <n v="16206"/>
    <x v="0"/>
    <x v="0"/>
    <d v="2026-06-30T00:00:00"/>
    <n v="16206"/>
  </r>
  <r>
    <x v="651"/>
    <d v="2025-08-29T00:00:00"/>
    <x v="7"/>
    <x v="2"/>
    <x v="0"/>
    <x v="0"/>
    <x v="2"/>
    <x v="0"/>
    <x v="8"/>
    <n v="492.39"/>
    <n v="4923.8999999999996"/>
    <x v="0"/>
    <x v="0"/>
    <d v="2026-06-30T00:00:00"/>
    <n v="4923.8999999999996"/>
  </r>
  <r>
    <x v="652"/>
    <d v="2025-08-29T00:00:00"/>
    <x v="7"/>
    <x v="0"/>
    <x v="2"/>
    <x v="0"/>
    <x v="2"/>
    <x v="0"/>
    <x v="16"/>
    <n v="1587.08"/>
    <n v="4761.24"/>
    <x v="1"/>
    <x v="4"/>
    <d v="2025-12-13T00:00:00"/>
    <n v="4761.24"/>
  </r>
  <r>
    <x v="653"/>
    <d v="2025-08-30T00:00:00"/>
    <x v="7"/>
    <x v="2"/>
    <x v="3"/>
    <x v="1"/>
    <x v="0"/>
    <x v="1"/>
    <x v="8"/>
    <n v="475.47"/>
    <n v="4754.7"/>
    <x v="0"/>
    <x v="0"/>
    <d v="2026-06-30T00:00:00"/>
    <n v="4754.7"/>
  </r>
  <r>
    <x v="654"/>
    <d v="2025-08-30T00:00:00"/>
    <x v="7"/>
    <x v="2"/>
    <x v="2"/>
    <x v="1"/>
    <x v="2"/>
    <x v="0"/>
    <x v="8"/>
    <n v="477.98"/>
    <n v="4779.8"/>
    <x v="0"/>
    <x v="0"/>
    <d v="2026-06-30T00:00:00"/>
    <n v="4779.8"/>
  </r>
  <r>
    <x v="655"/>
    <d v="2025-08-30T00:00:00"/>
    <x v="7"/>
    <x v="1"/>
    <x v="1"/>
    <x v="3"/>
    <x v="2"/>
    <x v="3"/>
    <x v="8"/>
    <n v="824.55"/>
    <n v="8245.5"/>
    <x v="0"/>
    <x v="0"/>
    <d v="2026-06-30T00:00:00"/>
    <n v="8245.5"/>
  </r>
  <r>
    <x v="656"/>
    <d v="2025-08-30T00:00:00"/>
    <x v="7"/>
    <x v="2"/>
    <x v="2"/>
    <x v="4"/>
    <x v="2"/>
    <x v="3"/>
    <x v="8"/>
    <n v="469.35"/>
    <n v="4693.5"/>
    <x v="0"/>
    <x v="0"/>
    <d v="2026-06-30T00:00:00"/>
    <n v="4693.5"/>
  </r>
  <r>
    <x v="657"/>
    <d v="2025-08-31T00:00:00"/>
    <x v="7"/>
    <x v="2"/>
    <x v="3"/>
    <x v="1"/>
    <x v="2"/>
    <x v="1"/>
    <x v="3"/>
    <n v="510.25"/>
    <n v="2041"/>
    <x v="1"/>
    <x v="4"/>
    <d v="2026-01-10T00:00:00"/>
    <n v="2041"/>
  </r>
  <r>
    <x v="658"/>
    <d v="2025-08-31T00:00:00"/>
    <x v="7"/>
    <x v="1"/>
    <x v="2"/>
    <x v="2"/>
    <x v="0"/>
    <x v="0"/>
    <x v="8"/>
    <n v="896.98"/>
    <n v="8969.7999999999993"/>
    <x v="0"/>
    <x v="0"/>
    <d v="2026-06-30T00:00:00"/>
    <n v="8969.7999999999993"/>
  </r>
  <r>
    <x v="659"/>
    <d v="2025-08-31T00:00:00"/>
    <x v="7"/>
    <x v="1"/>
    <x v="1"/>
    <x v="1"/>
    <x v="2"/>
    <x v="2"/>
    <x v="12"/>
    <n v="877.16"/>
    <n v="6140.12"/>
    <x v="1"/>
    <x v="2"/>
    <d v="2026-04-11T00:00:00"/>
    <n v="6140.12"/>
  </r>
  <r>
    <x v="660"/>
    <d v="2025-08-31T00:00:00"/>
    <x v="7"/>
    <x v="2"/>
    <x v="1"/>
    <x v="1"/>
    <x v="2"/>
    <x v="0"/>
    <x v="16"/>
    <n v="508.78"/>
    <n v="1526.34"/>
    <x v="1"/>
    <x v="3"/>
    <d v="2025-11-27T00:00:00"/>
    <n v="1526.34"/>
  </r>
  <r>
    <x v="661"/>
    <d v="2025-08-31T00:00:00"/>
    <x v="7"/>
    <x v="0"/>
    <x v="2"/>
    <x v="1"/>
    <x v="1"/>
    <x v="3"/>
    <x v="8"/>
    <n v="1353.72"/>
    <n v="13537.2"/>
    <x v="0"/>
    <x v="0"/>
    <d v="2026-06-30T00:00:00"/>
    <n v="13537.2"/>
  </r>
  <r>
    <x v="662"/>
    <d v="2025-08-31T00:00:00"/>
    <x v="7"/>
    <x v="1"/>
    <x v="0"/>
    <x v="0"/>
    <x v="2"/>
    <x v="1"/>
    <x v="8"/>
    <n v="837.92"/>
    <n v="8379.2000000000007"/>
    <x v="0"/>
    <x v="0"/>
    <d v="2026-06-30T00:00:00"/>
    <n v="8379.2000000000007"/>
  </r>
  <r>
    <x v="663"/>
    <d v="2025-09-01T00:00:00"/>
    <x v="8"/>
    <x v="1"/>
    <x v="2"/>
    <x v="4"/>
    <x v="2"/>
    <x v="3"/>
    <x v="8"/>
    <n v="865.16"/>
    <n v="8651.6"/>
    <x v="0"/>
    <x v="0"/>
    <d v="2026-06-30T00:00:00"/>
    <n v="8651.6"/>
  </r>
  <r>
    <x v="664"/>
    <d v="2025-09-01T00:00:00"/>
    <x v="8"/>
    <x v="2"/>
    <x v="1"/>
    <x v="2"/>
    <x v="2"/>
    <x v="2"/>
    <x v="3"/>
    <n v="500.37"/>
    <n v="2001.48"/>
    <x v="1"/>
    <x v="4"/>
    <d v="2025-12-28T00:00:00"/>
    <n v="2001.48"/>
  </r>
  <r>
    <x v="665"/>
    <d v="2025-09-02T00:00:00"/>
    <x v="8"/>
    <x v="1"/>
    <x v="3"/>
    <x v="0"/>
    <x v="2"/>
    <x v="0"/>
    <x v="11"/>
    <n v="900.43"/>
    <n v="4502.1499999999996"/>
    <x v="1"/>
    <x v="2"/>
    <d v="2026-02-15T00:00:00"/>
    <n v="4502.1499999999996"/>
  </r>
  <r>
    <x v="666"/>
    <d v="2025-09-02T00:00:00"/>
    <x v="8"/>
    <x v="1"/>
    <x v="3"/>
    <x v="1"/>
    <x v="2"/>
    <x v="2"/>
    <x v="8"/>
    <n v="843.14"/>
    <n v="8431.4"/>
    <x v="0"/>
    <x v="0"/>
    <d v="2026-06-30T00:00:00"/>
    <n v="8431.4"/>
  </r>
  <r>
    <x v="667"/>
    <d v="2025-09-02T00:00:00"/>
    <x v="8"/>
    <x v="2"/>
    <x v="3"/>
    <x v="2"/>
    <x v="2"/>
    <x v="2"/>
    <x v="8"/>
    <n v="456.59"/>
    <n v="4565.8999999999996"/>
    <x v="0"/>
    <x v="0"/>
    <d v="2026-06-30T00:00:00"/>
    <n v="4565.8999999999996"/>
  </r>
  <r>
    <x v="668"/>
    <d v="2025-09-02T00:00:00"/>
    <x v="8"/>
    <x v="1"/>
    <x v="1"/>
    <x v="0"/>
    <x v="1"/>
    <x v="3"/>
    <x v="8"/>
    <n v="892.71"/>
    <n v="8927.1"/>
    <x v="0"/>
    <x v="0"/>
    <d v="2026-06-30T00:00:00"/>
    <n v="8927.1"/>
  </r>
  <r>
    <x v="669"/>
    <d v="2025-09-02T00:00:00"/>
    <x v="8"/>
    <x v="2"/>
    <x v="3"/>
    <x v="4"/>
    <x v="2"/>
    <x v="0"/>
    <x v="8"/>
    <n v="524.16"/>
    <n v="5241.6000000000004"/>
    <x v="0"/>
    <x v="0"/>
    <d v="2026-06-30T00:00:00"/>
    <n v="5241.6000000000004"/>
  </r>
  <r>
    <x v="670"/>
    <d v="2025-09-03T00:00:00"/>
    <x v="8"/>
    <x v="2"/>
    <x v="2"/>
    <x v="3"/>
    <x v="2"/>
    <x v="1"/>
    <x v="9"/>
    <n v="456.55"/>
    <n v="913.1"/>
    <x v="1"/>
    <x v="5"/>
    <d v="2025-10-20T00:00:00"/>
    <n v="913.1"/>
  </r>
  <r>
    <x v="671"/>
    <d v="2025-09-05T00:00:00"/>
    <x v="8"/>
    <x v="1"/>
    <x v="3"/>
    <x v="1"/>
    <x v="0"/>
    <x v="2"/>
    <x v="8"/>
    <n v="814.91"/>
    <n v="8149.1"/>
    <x v="0"/>
    <x v="0"/>
    <d v="2026-06-30T00:00:00"/>
    <n v="8149.1"/>
  </r>
  <r>
    <x v="672"/>
    <d v="2025-09-05T00:00:00"/>
    <x v="8"/>
    <x v="1"/>
    <x v="1"/>
    <x v="1"/>
    <x v="2"/>
    <x v="1"/>
    <x v="8"/>
    <n v="929.73"/>
    <n v="9297.2999999999993"/>
    <x v="0"/>
    <x v="0"/>
    <d v="2026-06-30T00:00:00"/>
    <n v="9297.2999999999993"/>
  </r>
  <r>
    <x v="673"/>
    <d v="2025-09-05T00:00:00"/>
    <x v="8"/>
    <x v="2"/>
    <x v="1"/>
    <x v="3"/>
    <x v="2"/>
    <x v="0"/>
    <x v="8"/>
    <n v="463.36"/>
    <n v="4633.6000000000004"/>
    <x v="0"/>
    <x v="0"/>
    <d v="2026-06-30T00:00:00"/>
    <n v="4633.6000000000004"/>
  </r>
  <r>
    <x v="674"/>
    <d v="2025-09-05T00:00:00"/>
    <x v="8"/>
    <x v="0"/>
    <x v="1"/>
    <x v="2"/>
    <x v="2"/>
    <x v="1"/>
    <x v="8"/>
    <n v="1527.36"/>
    <n v="15273.6"/>
    <x v="0"/>
    <x v="0"/>
    <d v="2026-06-30T00:00:00"/>
    <n v="15273.6"/>
  </r>
  <r>
    <x v="675"/>
    <d v="2025-09-06T00:00:00"/>
    <x v="8"/>
    <x v="2"/>
    <x v="1"/>
    <x v="1"/>
    <x v="0"/>
    <x v="3"/>
    <x v="8"/>
    <n v="499.21"/>
    <n v="4992.1000000000004"/>
    <x v="0"/>
    <x v="0"/>
    <d v="2026-06-30T00:00:00"/>
    <n v="4992.1000000000004"/>
  </r>
  <r>
    <x v="676"/>
    <d v="2025-09-06T00:00:00"/>
    <x v="8"/>
    <x v="1"/>
    <x v="1"/>
    <x v="1"/>
    <x v="2"/>
    <x v="2"/>
    <x v="8"/>
    <n v="961.31"/>
    <n v="9613.1"/>
    <x v="0"/>
    <x v="0"/>
    <d v="2026-06-30T00:00:00"/>
    <n v="9613.1"/>
  </r>
  <r>
    <x v="677"/>
    <d v="2025-09-07T00:00:00"/>
    <x v="8"/>
    <x v="1"/>
    <x v="3"/>
    <x v="2"/>
    <x v="2"/>
    <x v="1"/>
    <x v="4"/>
    <n v="835.94"/>
    <n v="6687.52"/>
    <x v="1"/>
    <x v="1"/>
    <d v="2026-05-01T00:00:00"/>
    <n v="6687.52"/>
  </r>
  <r>
    <x v="678"/>
    <d v="2025-09-07T00:00:00"/>
    <x v="8"/>
    <x v="2"/>
    <x v="0"/>
    <x v="4"/>
    <x v="2"/>
    <x v="2"/>
    <x v="8"/>
    <n v="503.55"/>
    <n v="5035.5"/>
    <x v="0"/>
    <x v="0"/>
    <d v="2026-06-30T00:00:00"/>
    <n v="5035.5"/>
  </r>
  <r>
    <x v="679"/>
    <d v="2025-09-07T00:00:00"/>
    <x v="8"/>
    <x v="1"/>
    <x v="1"/>
    <x v="1"/>
    <x v="0"/>
    <x v="0"/>
    <x v="8"/>
    <n v="883.49"/>
    <n v="8834.9"/>
    <x v="0"/>
    <x v="0"/>
    <d v="2026-06-30T00:00:00"/>
    <n v="8834.9"/>
  </r>
  <r>
    <x v="680"/>
    <d v="2025-09-07T00:00:00"/>
    <x v="8"/>
    <x v="1"/>
    <x v="2"/>
    <x v="0"/>
    <x v="2"/>
    <x v="0"/>
    <x v="8"/>
    <n v="980.28"/>
    <n v="9802.7999999999993"/>
    <x v="0"/>
    <x v="0"/>
    <d v="2026-06-30T00:00:00"/>
    <n v="9802.7999999999993"/>
  </r>
  <r>
    <x v="681"/>
    <d v="2025-09-08T00:00:00"/>
    <x v="8"/>
    <x v="0"/>
    <x v="1"/>
    <x v="1"/>
    <x v="0"/>
    <x v="0"/>
    <x v="8"/>
    <n v="1472.49"/>
    <n v="14724.9"/>
    <x v="0"/>
    <x v="0"/>
    <d v="2026-06-30T00:00:00"/>
    <n v="14724.9"/>
  </r>
  <r>
    <x v="682"/>
    <d v="2025-09-08T00:00:00"/>
    <x v="8"/>
    <x v="2"/>
    <x v="0"/>
    <x v="1"/>
    <x v="2"/>
    <x v="2"/>
    <x v="3"/>
    <n v="545.76"/>
    <n v="2183.04"/>
    <x v="1"/>
    <x v="4"/>
    <d v="2026-01-17T00:00:00"/>
    <n v="2183.04"/>
  </r>
  <r>
    <x v="683"/>
    <d v="2025-09-08T00:00:00"/>
    <x v="8"/>
    <x v="2"/>
    <x v="2"/>
    <x v="3"/>
    <x v="2"/>
    <x v="2"/>
    <x v="8"/>
    <n v="473.74"/>
    <n v="4737.3999999999996"/>
    <x v="0"/>
    <x v="0"/>
    <d v="2026-06-30T00:00:00"/>
    <n v="4737.3999999999996"/>
  </r>
  <r>
    <x v="684"/>
    <d v="2025-09-08T00:00:00"/>
    <x v="8"/>
    <x v="0"/>
    <x v="1"/>
    <x v="0"/>
    <x v="2"/>
    <x v="1"/>
    <x v="8"/>
    <n v="1446.83"/>
    <n v="14468.3"/>
    <x v="0"/>
    <x v="0"/>
    <d v="2026-06-30T00:00:00"/>
    <n v="14468.3"/>
  </r>
  <r>
    <x v="685"/>
    <d v="2025-09-09T00:00:00"/>
    <x v="8"/>
    <x v="1"/>
    <x v="1"/>
    <x v="1"/>
    <x v="2"/>
    <x v="1"/>
    <x v="8"/>
    <n v="897.49"/>
    <n v="8974.9"/>
    <x v="0"/>
    <x v="0"/>
    <d v="2026-06-30T00:00:00"/>
    <n v="8974.9"/>
  </r>
  <r>
    <x v="686"/>
    <d v="2025-09-10T00:00:00"/>
    <x v="8"/>
    <x v="2"/>
    <x v="3"/>
    <x v="1"/>
    <x v="2"/>
    <x v="0"/>
    <x v="8"/>
    <n v="498.49"/>
    <n v="4984.8999999999996"/>
    <x v="0"/>
    <x v="0"/>
    <d v="2026-06-30T00:00:00"/>
    <n v="4984.8999999999996"/>
  </r>
  <r>
    <x v="687"/>
    <d v="2025-09-11T00:00:00"/>
    <x v="8"/>
    <x v="0"/>
    <x v="1"/>
    <x v="2"/>
    <x v="0"/>
    <x v="0"/>
    <x v="8"/>
    <n v="1351.9"/>
    <n v="13519"/>
    <x v="0"/>
    <x v="0"/>
    <d v="2026-06-30T00:00:00"/>
    <n v="13519"/>
  </r>
  <r>
    <x v="688"/>
    <d v="2025-09-11T00:00:00"/>
    <x v="8"/>
    <x v="0"/>
    <x v="1"/>
    <x v="0"/>
    <x v="2"/>
    <x v="1"/>
    <x v="8"/>
    <n v="1544.68"/>
    <n v="15446.8"/>
    <x v="0"/>
    <x v="0"/>
    <d v="2026-06-30T00:00:00"/>
    <n v="15446.8"/>
  </r>
  <r>
    <x v="689"/>
    <d v="2025-09-12T00:00:00"/>
    <x v="8"/>
    <x v="1"/>
    <x v="0"/>
    <x v="1"/>
    <x v="2"/>
    <x v="3"/>
    <x v="14"/>
    <n v="873.65"/>
    <n v="5241.8999999999996"/>
    <x v="1"/>
    <x v="1"/>
    <d v="2026-03-27T00:00:00"/>
    <n v="5241.8999999999996"/>
  </r>
  <r>
    <x v="690"/>
    <d v="2025-09-12T00:00:00"/>
    <x v="8"/>
    <x v="0"/>
    <x v="2"/>
    <x v="4"/>
    <x v="0"/>
    <x v="0"/>
    <x v="11"/>
    <n v="1469.03"/>
    <n v="7345.15"/>
    <x v="1"/>
    <x v="1"/>
    <d v="2026-02-20T00:00:00"/>
    <n v="7345.15"/>
  </r>
  <r>
    <x v="691"/>
    <d v="2025-09-12T00:00:00"/>
    <x v="8"/>
    <x v="1"/>
    <x v="0"/>
    <x v="0"/>
    <x v="0"/>
    <x v="1"/>
    <x v="8"/>
    <n v="901.86"/>
    <n v="9018.6"/>
    <x v="0"/>
    <x v="0"/>
    <d v="2026-06-30T00:00:00"/>
    <n v="9018.6"/>
  </r>
  <r>
    <x v="692"/>
    <d v="2025-09-12T00:00:00"/>
    <x v="8"/>
    <x v="1"/>
    <x v="1"/>
    <x v="0"/>
    <x v="2"/>
    <x v="1"/>
    <x v="8"/>
    <n v="914.11"/>
    <n v="9141.1"/>
    <x v="0"/>
    <x v="0"/>
    <d v="2026-06-30T00:00:00"/>
    <n v="9141.1"/>
  </r>
  <r>
    <x v="693"/>
    <d v="2025-09-12T00:00:00"/>
    <x v="8"/>
    <x v="0"/>
    <x v="1"/>
    <x v="0"/>
    <x v="2"/>
    <x v="2"/>
    <x v="8"/>
    <n v="1434.33"/>
    <n v="14343.3"/>
    <x v="0"/>
    <x v="0"/>
    <d v="2026-06-30T00:00:00"/>
    <n v="14343.3"/>
  </r>
  <r>
    <x v="694"/>
    <d v="2025-09-13T00:00:00"/>
    <x v="8"/>
    <x v="1"/>
    <x v="0"/>
    <x v="0"/>
    <x v="1"/>
    <x v="2"/>
    <x v="8"/>
    <n v="888.5"/>
    <n v="8885"/>
    <x v="0"/>
    <x v="0"/>
    <d v="2026-06-30T00:00:00"/>
    <n v="8885"/>
  </r>
  <r>
    <x v="695"/>
    <d v="2025-09-13T00:00:00"/>
    <x v="8"/>
    <x v="0"/>
    <x v="1"/>
    <x v="1"/>
    <x v="0"/>
    <x v="3"/>
    <x v="8"/>
    <n v="1528.51"/>
    <n v="15285.1"/>
    <x v="0"/>
    <x v="0"/>
    <d v="2026-06-30T00:00:00"/>
    <n v="15285.1"/>
  </r>
  <r>
    <x v="696"/>
    <d v="2025-09-13T00:00:00"/>
    <x v="8"/>
    <x v="1"/>
    <x v="3"/>
    <x v="1"/>
    <x v="0"/>
    <x v="1"/>
    <x v="8"/>
    <n v="980.02"/>
    <n v="9800.2000000000007"/>
    <x v="0"/>
    <x v="0"/>
    <d v="2026-06-30T00:00:00"/>
    <n v="9800.2000000000007"/>
  </r>
  <r>
    <x v="697"/>
    <d v="2025-09-13T00:00:00"/>
    <x v="8"/>
    <x v="0"/>
    <x v="2"/>
    <x v="3"/>
    <x v="0"/>
    <x v="0"/>
    <x v="13"/>
    <n v="1576.53"/>
    <n v="1576.53"/>
    <x v="1"/>
    <x v="1"/>
    <d v="2025-10-18T00:00:00"/>
    <n v="1576.53"/>
  </r>
  <r>
    <x v="698"/>
    <d v="2025-09-14T00:00:00"/>
    <x v="8"/>
    <x v="2"/>
    <x v="0"/>
    <x v="1"/>
    <x v="0"/>
    <x v="0"/>
    <x v="5"/>
    <n v="455.94"/>
    <n v="4103.46"/>
    <x v="0"/>
    <x v="0"/>
    <d v="2026-06-30T00:00:00"/>
    <n v="4103.46"/>
  </r>
  <r>
    <x v="699"/>
    <d v="2025-09-14T00:00:00"/>
    <x v="8"/>
    <x v="2"/>
    <x v="1"/>
    <x v="0"/>
    <x v="0"/>
    <x v="0"/>
    <x v="5"/>
    <n v="495.53"/>
    <n v="4459.7700000000004"/>
    <x v="0"/>
    <x v="0"/>
    <d v="2026-06-30T00:00:00"/>
    <n v="4459.7700000000004"/>
  </r>
  <r>
    <x v="700"/>
    <d v="2025-09-15T00:00:00"/>
    <x v="8"/>
    <x v="1"/>
    <x v="2"/>
    <x v="1"/>
    <x v="2"/>
    <x v="3"/>
    <x v="5"/>
    <n v="936.59"/>
    <n v="8429.31"/>
    <x v="1"/>
    <x v="5"/>
    <d v="2026-06-06T00:00:00"/>
    <n v="8429.31"/>
  </r>
  <r>
    <x v="701"/>
    <d v="2025-09-16T00:00:00"/>
    <x v="8"/>
    <x v="2"/>
    <x v="1"/>
    <x v="3"/>
    <x v="2"/>
    <x v="1"/>
    <x v="12"/>
    <n v="521.38"/>
    <n v="3649.66"/>
    <x v="1"/>
    <x v="5"/>
    <d v="2026-04-15T00:00:00"/>
    <n v="3649.66"/>
  </r>
  <r>
    <x v="702"/>
    <d v="2025-09-16T00:00:00"/>
    <x v="8"/>
    <x v="2"/>
    <x v="1"/>
    <x v="1"/>
    <x v="2"/>
    <x v="0"/>
    <x v="5"/>
    <n v="494.34"/>
    <n v="4449.0600000000004"/>
    <x v="0"/>
    <x v="0"/>
    <d v="2026-06-30T00:00:00"/>
    <n v="4449.0600000000004"/>
  </r>
  <r>
    <x v="703"/>
    <d v="2025-09-17T00:00:00"/>
    <x v="8"/>
    <x v="0"/>
    <x v="0"/>
    <x v="0"/>
    <x v="0"/>
    <x v="0"/>
    <x v="13"/>
    <n v="1536.78"/>
    <n v="1536.78"/>
    <x v="1"/>
    <x v="5"/>
    <d v="2025-10-25T00:00:00"/>
    <n v="1536.78"/>
  </r>
  <r>
    <x v="704"/>
    <d v="2025-09-19T00:00:00"/>
    <x v="8"/>
    <x v="1"/>
    <x v="2"/>
    <x v="1"/>
    <x v="0"/>
    <x v="0"/>
    <x v="5"/>
    <n v="908.08"/>
    <n v="8172.72"/>
    <x v="0"/>
    <x v="0"/>
    <d v="2026-06-30T00:00:00"/>
    <n v="8172.72"/>
  </r>
  <r>
    <x v="705"/>
    <d v="2025-09-19T00:00:00"/>
    <x v="8"/>
    <x v="1"/>
    <x v="0"/>
    <x v="0"/>
    <x v="0"/>
    <x v="1"/>
    <x v="5"/>
    <n v="813.74"/>
    <n v="7323.66"/>
    <x v="0"/>
    <x v="0"/>
    <d v="2026-06-30T00:00:00"/>
    <n v="7323.66"/>
  </r>
  <r>
    <x v="706"/>
    <d v="2025-09-19T00:00:00"/>
    <x v="8"/>
    <x v="1"/>
    <x v="2"/>
    <x v="0"/>
    <x v="1"/>
    <x v="0"/>
    <x v="5"/>
    <n v="817.36"/>
    <n v="7356.24"/>
    <x v="0"/>
    <x v="0"/>
    <d v="2026-06-30T00:00:00"/>
    <n v="7356.24"/>
  </r>
  <r>
    <x v="707"/>
    <d v="2025-09-19T00:00:00"/>
    <x v="8"/>
    <x v="2"/>
    <x v="3"/>
    <x v="1"/>
    <x v="1"/>
    <x v="0"/>
    <x v="3"/>
    <n v="460.09"/>
    <n v="1840.36"/>
    <x v="1"/>
    <x v="4"/>
    <d v="2026-01-20T00:00:00"/>
    <n v="1840.36"/>
  </r>
  <r>
    <x v="708"/>
    <d v="2025-09-19T00:00:00"/>
    <x v="8"/>
    <x v="0"/>
    <x v="0"/>
    <x v="0"/>
    <x v="2"/>
    <x v="0"/>
    <x v="5"/>
    <n v="1398.54"/>
    <n v="12586.86"/>
    <x v="0"/>
    <x v="0"/>
    <d v="2026-06-30T00:00:00"/>
    <n v="12586.86"/>
  </r>
  <r>
    <x v="709"/>
    <d v="2025-09-20T00:00:00"/>
    <x v="8"/>
    <x v="1"/>
    <x v="0"/>
    <x v="1"/>
    <x v="1"/>
    <x v="1"/>
    <x v="5"/>
    <n v="980.32"/>
    <n v="8822.8799999999992"/>
    <x v="0"/>
    <x v="0"/>
    <d v="2026-06-30T00:00:00"/>
    <n v="8822.8799999999992"/>
  </r>
  <r>
    <x v="710"/>
    <d v="2025-09-20T00:00:00"/>
    <x v="8"/>
    <x v="1"/>
    <x v="1"/>
    <x v="4"/>
    <x v="1"/>
    <x v="1"/>
    <x v="5"/>
    <n v="814.05"/>
    <n v="7326.45"/>
    <x v="0"/>
    <x v="0"/>
    <d v="2026-06-30T00:00:00"/>
    <n v="7326.45"/>
  </r>
  <r>
    <x v="711"/>
    <d v="2025-09-21T00:00:00"/>
    <x v="8"/>
    <x v="2"/>
    <x v="1"/>
    <x v="0"/>
    <x v="2"/>
    <x v="2"/>
    <x v="4"/>
    <n v="527.76"/>
    <n v="4222.08"/>
    <x v="1"/>
    <x v="4"/>
    <d v="2026-05-17T00:00:00"/>
    <n v="4222.08"/>
  </r>
  <r>
    <x v="712"/>
    <d v="2025-09-21T00:00:00"/>
    <x v="8"/>
    <x v="1"/>
    <x v="2"/>
    <x v="0"/>
    <x v="2"/>
    <x v="3"/>
    <x v="5"/>
    <n v="972.32"/>
    <n v="8750.8799999999992"/>
    <x v="0"/>
    <x v="0"/>
    <d v="2026-06-30T00:00:00"/>
    <n v="8750.8799999999992"/>
  </r>
  <r>
    <x v="713"/>
    <d v="2025-09-21T00:00:00"/>
    <x v="8"/>
    <x v="1"/>
    <x v="1"/>
    <x v="0"/>
    <x v="2"/>
    <x v="0"/>
    <x v="5"/>
    <n v="907.84"/>
    <n v="8170.56"/>
    <x v="0"/>
    <x v="0"/>
    <d v="2026-06-30T00:00:00"/>
    <n v="8170.56"/>
  </r>
  <r>
    <x v="714"/>
    <d v="2025-09-21T00:00:00"/>
    <x v="8"/>
    <x v="1"/>
    <x v="0"/>
    <x v="0"/>
    <x v="2"/>
    <x v="0"/>
    <x v="4"/>
    <n v="896.4"/>
    <n v="7171.2"/>
    <x v="1"/>
    <x v="1"/>
    <d v="2026-05-14T00:00:00"/>
    <n v="7171.2"/>
  </r>
  <r>
    <x v="715"/>
    <d v="2025-09-21T00:00:00"/>
    <x v="8"/>
    <x v="2"/>
    <x v="2"/>
    <x v="1"/>
    <x v="0"/>
    <x v="0"/>
    <x v="5"/>
    <n v="528.98"/>
    <n v="4760.82"/>
    <x v="0"/>
    <x v="0"/>
    <d v="2026-06-30T00:00:00"/>
    <n v="4760.82"/>
  </r>
  <r>
    <x v="716"/>
    <d v="2025-09-22T00:00:00"/>
    <x v="8"/>
    <x v="1"/>
    <x v="2"/>
    <x v="2"/>
    <x v="2"/>
    <x v="0"/>
    <x v="14"/>
    <n v="987.21"/>
    <n v="5923.26"/>
    <x v="1"/>
    <x v="5"/>
    <d v="2026-03-22T00:00:00"/>
    <n v="5923.26"/>
  </r>
  <r>
    <x v="717"/>
    <d v="2025-09-22T00:00:00"/>
    <x v="8"/>
    <x v="1"/>
    <x v="2"/>
    <x v="3"/>
    <x v="2"/>
    <x v="0"/>
    <x v="5"/>
    <n v="811.7"/>
    <n v="7305.3"/>
    <x v="0"/>
    <x v="0"/>
    <d v="2026-06-30T00:00:00"/>
    <n v="7305.3"/>
  </r>
  <r>
    <x v="718"/>
    <d v="2025-09-22T00:00:00"/>
    <x v="8"/>
    <x v="1"/>
    <x v="0"/>
    <x v="4"/>
    <x v="0"/>
    <x v="2"/>
    <x v="5"/>
    <n v="815.7"/>
    <n v="7341.3"/>
    <x v="0"/>
    <x v="0"/>
    <d v="2026-06-30T00:00:00"/>
    <n v="7341.3"/>
  </r>
  <r>
    <x v="719"/>
    <d v="2025-09-23T00:00:00"/>
    <x v="8"/>
    <x v="1"/>
    <x v="3"/>
    <x v="3"/>
    <x v="2"/>
    <x v="3"/>
    <x v="5"/>
    <n v="877.78"/>
    <n v="7900.02"/>
    <x v="0"/>
    <x v="0"/>
    <d v="2026-06-30T00:00:00"/>
    <n v="7900.02"/>
  </r>
  <r>
    <x v="720"/>
    <d v="2025-09-23T00:00:00"/>
    <x v="8"/>
    <x v="1"/>
    <x v="2"/>
    <x v="0"/>
    <x v="2"/>
    <x v="2"/>
    <x v="3"/>
    <n v="845.4"/>
    <n v="3381.6"/>
    <x v="1"/>
    <x v="2"/>
    <d v="2026-02-01T00:00:00"/>
    <n v="3381.6"/>
  </r>
  <r>
    <x v="721"/>
    <d v="2025-09-24T00:00:00"/>
    <x v="8"/>
    <x v="2"/>
    <x v="1"/>
    <x v="4"/>
    <x v="2"/>
    <x v="0"/>
    <x v="5"/>
    <n v="491.09"/>
    <n v="4419.8100000000004"/>
    <x v="0"/>
    <x v="0"/>
    <d v="2026-06-30T00:00:00"/>
    <n v="4419.8100000000004"/>
  </r>
  <r>
    <x v="722"/>
    <d v="2025-09-24T00:00:00"/>
    <x v="8"/>
    <x v="0"/>
    <x v="2"/>
    <x v="2"/>
    <x v="2"/>
    <x v="0"/>
    <x v="16"/>
    <n v="1422.65"/>
    <n v="4267.95"/>
    <x v="1"/>
    <x v="5"/>
    <d v="2026-01-05T00:00:00"/>
    <n v="4267.95"/>
  </r>
  <r>
    <x v="723"/>
    <d v="2025-09-24T00:00:00"/>
    <x v="8"/>
    <x v="0"/>
    <x v="0"/>
    <x v="1"/>
    <x v="2"/>
    <x v="0"/>
    <x v="5"/>
    <n v="1439.11"/>
    <n v="12951.99"/>
    <x v="0"/>
    <x v="0"/>
    <d v="2026-06-30T00:00:00"/>
    <n v="12951.99"/>
  </r>
  <r>
    <x v="724"/>
    <d v="2025-09-24T00:00:00"/>
    <x v="8"/>
    <x v="2"/>
    <x v="1"/>
    <x v="1"/>
    <x v="1"/>
    <x v="1"/>
    <x v="5"/>
    <n v="539.71"/>
    <n v="4857.3900000000003"/>
    <x v="0"/>
    <x v="0"/>
    <d v="2026-06-30T00:00:00"/>
    <n v="4857.3900000000003"/>
  </r>
  <r>
    <x v="725"/>
    <d v="2025-09-26T00:00:00"/>
    <x v="8"/>
    <x v="2"/>
    <x v="2"/>
    <x v="2"/>
    <x v="1"/>
    <x v="3"/>
    <x v="11"/>
    <n v="495.81"/>
    <n v="2479.0500000000002"/>
    <x v="1"/>
    <x v="4"/>
    <d v="2026-02-13T00:00:00"/>
    <n v="2479.0500000000002"/>
  </r>
  <r>
    <x v="726"/>
    <d v="2025-09-26T00:00:00"/>
    <x v="8"/>
    <x v="1"/>
    <x v="1"/>
    <x v="1"/>
    <x v="2"/>
    <x v="0"/>
    <x v="13"/>
    <n v="918.31"/>
    <n v="918.31"/>
    <x v="1"/>
    <x v="3"/>
    <d v="2025-10-27T00:00:00"/>
    <n v="918.31"/>
  </r>
  <r>
    <x v="727"/>
    <d v="2025-09-26T00:00:00"/>
    <x v="8"/>
    <x v="2"/>
    <x v="0"/>
    <x v="0"/>
    <x v="1"/>
    <x v="1"/>
    <x v="5"/>
    <n v="536.66999999999996"/>
    <n v="4830.03"/>
    <x v="0"/>
    <x v="0"/>
    <d v="2026-06-30T00:00:00"/>
    <n v="4830.03"/>
  </r>
  <r>
    <x v="728"/>
    <d v="2025-09-26T00:00:00"/>
    <x v="8"/>
    <x v="0"/>
    <x v="3"/>
    <x v="0"/>
    <x v="2"/>
    <x v="2"/>
    <x v="5"/>
    <n v="1389.32"/>
    <n v="12503.88"/>
    <x v="0"/>
    <x v="0"/>
    <d v="2026-06-30T00:00:00"/>
    <n v="12503.88"/>
  </r>
  <r>
    <x v="729"/>
    <d v="2025-09-26T00:00:00"/>
    <x v="8"/>
    <x v="1"/>
    <x v="1"/>
    <x v="3"/>
    <x v="0"/>
    <x v="2"/>
    <x v="5"/>
    <n v="827.82"/>
    <n v="7450.38"/>
    <x v="0"/>
    <x v="0"/>
    <d v="2026-06-30T00:00:00"/>
    <n v="7450.38"/>
  </r>
  <r>
    <x v="730"/>
    <d v="2025-09-26T00:00:00"/>
    <x v="8"/>
    <x v="0"/>
    <x v="1"/>
    <x v="1"/>
    <x v="0"/>
    <x v="0"/>
    <x v="5"/>
    <n v="1435.29"/>
    <n v="12917.61"/>
    <x v="0"/>
    <x v="0"/>
    <d v="2026-06-30T00:00:00"/>
    <n v="12917.61"/>
  </r>
  <r>
    <x v="731"/>
    <d v="2025-09-26T00:00:00"/>
    <x v="8"/>
    <x v="1"/>
    <x v="1"/>
    <x v="4"/>
    <x v="2"/>
    <x v="3"/>
    <x v="5"/>
    <n v="910.12"/>
    <n v="8191.08"/>
    <x v="0"/>
    <x v="0"/>
    <d v="2026-06-30T00:00:00"/>
    <n v="8191.08"/>
  </r>
  <r>
    <x v="732"/>
    <d v="2025-09-27T00:00:00"/>
    <x v="8"/>
    <x v="2"/>
    <x v="1"/>
    <x v="1"/>
    <x v="1"/>
    <x v="2"/>
    <x v="5"/>
    <n v="487.58"/>
    <n v="4388.22"/>
    <x v="0"/>
    <x v="0"/>
    <d v="2026-06-30T00:00:00"/>
    <n v="4388.22"/>
  </r>
  <r>
    <x v="733"/>
    <d v="2025-09-27T00:00:00"/>
    <x v="8"/>
    <x v="2"/>
    <x v="1"/>
    <x v="1"/>
    <x v="2"/>
    <x v="2"/>
    <x v="5"/>
    <n v="532.75"/>
    <n v="4794.75"/>
    <x v="0"/>
    <x v="0"/>
    <d v="2026-06-30T00:00:00"/>
    <n v="4794.75"/>
  </r>
  <r>
    <x v="734"/>
    <d v="2025-09-27T00:00:00"/>
    <x v="8"/>
    <x v="0"/>
    <x v="2"/>
    <x v="0"/>
    <x v="2"/>
    <x v="0"/>
    <x v="5"/>
    <n v="1565.71"/>
    <n v="14091.39"/>
    <x v="0"/>
    <x v="0"/>
    <d v="2026-06-30T00:00:00"/>
    <n v="14091.39"/>
  </r>
  <r>
    <x v="735"/>
    <d v="2025-09-27T00:00:00"/>
    <x v="8"/>
    <x v="1"/>
    <x v="0"/>
    <x v="4"/>
    <x v="2"/>
    <x v="0"/>
    <x v="5"/>
    <n v="960.98"/>
    <n v="8648.82"/>
    <x v="0"/>
    <x v="0"/>
    <d v="2026-06-30T00:00:00"/>
    <n v="8648.82"/>
  </r>
  <r>
    <x v="736"/>
    <d v="2025-09-27T00:00:00"/>
    <x v="8"/>
    <x v="1"/>
    <x v="2"/>
    <x v="1"/>
    <x v="2"/>
    <x v="2"/>
    <x v="5"/>
    <n v="853.65"/>
    <n v="7682.85"/>
    <x v="0"/>
    <x v="0"/>
    <d v="2026-06-30T00:00:00"/>
    <n v="7682.85"/>
  </r>
  <r>
    <x v="737"/>
    <d v="2025-09-27T00:00:00"/>
    <x v="8"/>
    <x v="1"/>
    <x v="3"/>
    <x v="2"/>
    <x v="2"/>
    <x v="2"/>
    <x v="5"/>
    <n v="926.13"/>
    <n v="8335.17"/>
    <x v="0"/>
    <x v="0"/>
    <d v="2026-06-30T00:00:00"/>
    <n v="8335.17"/>
  </r>
  <r>
    <x v="738"/>
    <d v="2025-09-29T00:00:00"/>
    <x v="8"/>
    <x v="2"/>
    <x v="2"/>
    <x v="0"/>
    <x v="2"/>
    <x v="0"/>
    <x v="5"/>
    <n v="485.41"/>
    <n v="4368.6899999999996"/>
    <x v="0"/>
    <x v="0"/>
    <d v="2026-06-30T00:00:00"/>
    <n v="4368.6899999999996"/>
  </r>
  <r>
    <x v="739"/>
    <d v="2025-09-29T00:00:00"/>
    <x v="8"/>
    <x v="0"/>
    <x v="2"/>
    <x v="4"/>
    <x v="2"/>
    <x v="1"/>
    <x v="5"/>
    <n v="1611.64"/>
    <n v="14504.76"/>
    <x v="0"/>
    <x v="0"/>
    <d v="2026-06-30T00:00:00"/>
    <n v="14504.76"/>
  </r>
  <r>
    <x v="740"/>
    <d v="2025-09-29T00:00:00"/>
    <x v="8"/>
    <x v="1"/>
    <x v="2"/>
    <x v="1"/>
    <x v="0"/>
    <x v="0"/>
    <x v="5"/>
    <n v="929.63"/>
    <n v="8366.67"/>
    <x v="0"/>
    <x v="0"/>
    <d v="2026-06-30T00:00:00"/>
    <n v="8366.67"/>
  </r>
  <r>
    <x v="741"/>
    <d v="2025-09-30T00:00:00"/>
    <x v="8"/>
    <x v="1"/>
    <x v="1"/>
    <x v="3"/>
    <x v="2"/>
    <x v="2"/>
    <x v="5"/>
    <n v="935.54"/>
    <n v="8419.86"/>
    <x v="0"/>
    <x v="0"/>
    <d v="2026-06-30T00:00:00"/>
    <n v="8419.86"/>
  </r>
  <r>
    <x v="742"/>
    <d v="2025-09-30T00:00:00"/>
    <x v="8"/>
    <x v="2"/>
    <x v="1"/>
    <x v="1"/>
    <x v="1"/>
    <x v="1"/>
    <x v="5"/>
    <n v="466.7"/>
    <n v="4200.3"/>
    <x v="0"/>
    <x v="0"/>
    <d v="2026-06-30T00:00:00"/>
    <n v="4200.3"/>
  </r>
  <r>
    <x v="743"/>
    <d v="2025-09-30T00:00:00"/>
    <x v="8"/>
    <x v="2"/>
    <x v="1"/>
    <x v="2"/>
    <x v="2"/>
    <x v="0"/>
    <x v="5"/>
    <n v="545.54999999999995"/>
    <n v="4909.95"/>
    <x v="0"/>
    <x v="0"/>
    <d v="2026-06-30T00:00:00"/>
    <n v="4909.95"/>
  </r>
  <r>
    <x v="744"/>
    <d v="2025-10-01T00:00:00"/>
    <x v="9"/>
    <x v="2"/>
    <x v="2"/>
    <x v="2"/>
    <x v="0"/>
    <x v="2"/>
    <x v="5"/>
    <n v="498.76"/>
    <n v="4488.84"/>
    <x v="0"/>
    <x v="0"/>
    <d v="2026-06-30T00:00:00"/>
    <n v="4488.84"/>
  </r>
  <r>
    <x v="745"/>
    <d v="2025-10-01T00:00:00"/>
    <x v="9"/>
    <x v="0"/>
    <x v="2"/>
    <x v="3"/>
    <x v="2"/>
    <x v="2"/>
    <x v="5"/>
    <n v="1529.32"/>
    <n v="13763.88"/>
    <x v="0"/>
    <x v="0"/>
    <d v="2026-06-30T00:00:00"/>
    <n v="13763.88"/>
  </r>
  <r>
    <x v="746"/>
    <d v="2025-10-01T00:00:00"/>
    <x v="9"/>
    <x v="1"/>
    <x v="1"/>
    <x v="1"/>
    <x v="2"/>
    <x v="0"/>
    <x v="4"/>
    <n v="854.49"/>
    <n v="6835.92"/>
    <x v="1"/>
    <x v="4"/>
    <d v="2026-05-22T00:00:00"/>
    <n v="6835.92"/>
  </r>
  <r>
    <x v="747"/>
    <d v="2025-10-02T00:00:00"/>
    <x v="9"/>
    <x v="1"/>
    <x v="1"/>
    <x v="1"/>
    <x v="2"/>
    <x v="1"/>
    <x v="5"/>
    <n v="982.32"/>
    <n v="8840.8799999999992"/>
    <x v="0"/>
    <x v="0"/>
    <d v="2026-06-30T00:00:00"/>
    <n v="8840.8799999999992"/>
  </r>
  <r>
    <x v="748"/>
    <d v="2025-10-04T00:00:00"/>
    <x v="9"/>
    <x v="1"/>
    <x v="1"/>
    <x v="1"/>
    <x v="2"/>
    <x v="0"/>
    <x v="5"/>
    <n v="907.92"/>
    <n v="8171.28"/>
    <x v="0"/>
    <x v="0"/>
    <d v="2026-06-30T00:00:00"/>
    <n v="8171.28"/>
  </r>
  <r>
    <x v="749"/>
    <d v="2025-10-04T00:00:00"/>
    <x v="9"/>
    <x v="1"/>
    <x v="1"/>
    <x v="1"/>
    <x v="2"/>
    <x v="0"/>
    <x v="5"/>
    <n v="970.14"/>
    <n v="8731.26"/>
    <x v="0"/>
    <x v="0"/>
    <d v="2026-06-30T00:00:00"/>
    <n v="8731.26"/>
  </r>
  <r>
    <x v="750"/>
    <d v="2025-10-04T00:00:00"/>
    <x v="9"/>
    <x v="2"/>
    <x v="0"/>
    <x v="1"/>
    <x v="2"/>
    <x v="2"/>
    <x v="5"/>
    <n v="467.38"/>
    <n v="4206.42"/>
    <x v="0"/>
    <x v="0"/>
    <d v="2026-06-30T00:00:00"/>
    <n v="4206.42"/>
  </r>
  <r>
    <x v="751"/>
    <d v="2025-10-05T00:00:00"/>
    <x v="9"/>
    <x v="2"/>
    <x v="0"/>
    <x v="2"/>
    <x v="1"/>
    <x v="0"/>
    <x v="5"/>
    <n v="481.75"/>
    <n v="4335.75"/>
    <x v="0"/>
    <x v="0"/>
    <d v="2026-06-30T00:00:00"/>
    <n v="4335.75"/>
  </r>
  <r>
    <x v="752"/>
    <d v="2025-10-05T00:00:00"/>
    <x v="9"/>
    <x v="1"/>
    <x v="1"/>
    <x v="0"/>
    <x v="0"/>
    <x v="0"/>
    <x v="5"/>
    <n v="860.86"/>
    <n v="7747.74"/>
    <x v="0"/>
    <x v="0"/>
    <d v="2026-06-30T00:00:00"/>
    <n v="7747.74"/>
  </r>
  <r>
    <x v="753"/>
    <d v="2025-10-06T00:00:00"/>
    <x v="9"/>
    <x v="1"/>
    <x v="2"/>
    <x v="0"/>
    <x v="2"/>
    <x v="3"/>
    <x v="5"/>
    <n v="916.74"/>
    <n v="8250.66"/>
    <x v="0"/>
    <x v="0"/>
    <d v="2026-06-30T00:00:00"/>
    <n v="8250.66"/>
  </r>
  <r>
    <x v="754"/>
    <d v="2025-10-06T00:00:00"/>
    <x v="9"/>
    <x v="1"/>
    <x v="1"/>
    <x v="4"/>
    <x v="2"/>
    <x v="0"/>
    <x v="14"/>
    <n v="971.61"/>
    <n v="5829.66"/>
    <x v="1"/>
    <x v="1"/>
    <d v="2026-04-16T00:00:00"/>
    <n v="5829.66"/>
  </r>
  <r>
    <x v="755"/>
    <d v="2025-10-06T00:00:00"/>
    <x v="9"/>
    <x v="2"/>
    <x v="1"/>
    <x v="0"/>
    <x v="0"/>
    <x v="0"/>
    <x v="5"/>
    <n v="466.79"/>
    <n v="4201.1099999999997"/>
    <x v="0"/>
    <x v="0"/>
    <d v="2026-06-30T00:00:00"/>
    <n v="4201.1099999999997"/>
  </r>
  <r>
    <x v="756"/>
    <d v="2025-10-07T00:00:00"/>
    <x v="9"/>
    <x v="2"/>
    <x v="1"/>
    <x v="2"/>
    <x v="1"/>
    <x v="0"/>
    <x v="5"/>
    <n v="494.14"/>
    <n v="4447.26"/>
    <x v="0"/>
    <x v="0"/>
    <d v="2026-06-30T00:00:00"/>
    <n v="4447.26"/>
  </r>
  <r>
    <x v="757"/>
    <d v="2025-10-07T00:00:00"/>
    <x v="9"/>
    <x v="2"/>
    <x v="1"/>
    <x v="1"/>
    <x v="0"/>
    <x v="0"/>
    <x v="5"/>
    <n v="525.82000000000005"/>
    <n v="4732.38"/>
    <x v="0"/>
    <x v="0"/>
    <d v="2026-06-30T00:00:00"/>
    <n v="4732.38"/>
  </r>
  <r>
    <x v="758"/>
    <d v="2025-10-07T00:00:00"/>
    <x v="9"/>
    <x v="1"/>
    <x v="2"/>
    <x v="1"/>
    <x v="2"/>
    <x v="0"/>
    <x v="5"/>
    <n v="943.39"/>
    <n v="8490.51"/>
    <x v="0"/>
    <x v="0"/>
    <d v="2026-06-30T00:00:00"/>
    <n v="8490.51"/>
  </r>
  <r>
    <x v="759"/>
    <d v="2025-10-07T00:00:00"/>
    <x v="9"/>
    <x v="2"/>
    <x v="3"/>
    <x v="1"/>
    <x v="1"/>
    <x v="3"/>
    <x v="11"/>
    <n v="543.91"/>
    <n v="2719.55"/>
    <x v="1"/>
    <x v="2"/>
    <d v="2026-02-21T00:00:00"/>
    <n v="2719.55"/>
  </r>
  <r>
    <x v="760"/>
    <d v="2025-10-08T00:00:00"/>
    <x v="9"/>
    <x v="2"/>
    <x v="2"/>
    <x v="4"/>
    <x v="0"/>
    <x v="2"/>
    <x v="5"/>
    <n v="490.02"/>
    <n v="4410.18"/>
    <x v="0"/>
    <x v="0"/>
    <d v="2026-06-30T00:00:00"/>
    <n v="4410.18"/>
  </r>
  <r>
    <x v="761"/>
    <d v="2025-10-08T00:00:00"/>
    <x v="9"/>
    <x v="2"/>
    <x v="1"/>
    <x v="1"/>
    <x v="0"/>
    <x v="2"/>
    <x v="5"/>
    <n v="497.95"/>
    <n v="4481.55"/>
    <x v="0"/>
    <x v="0"/>
    <d v="2026-06-30T00:00:00"/>
    <n v="4481.55"/>
  </r>
  <r>
    <x v="762"/>
    <d v="2025-10-09T00:00:00"/>
    <x v="9"/>
    <x v="1"/>
    <x v="1"/>
    <x v="3"/>
    <x v="2"/>
    <x v="0"/>
    <x v="5"/>
    <n v="919.15"/>
    <n v="8272.35"/>
    <x v="0"/>
    <x v="0"/>
    <d v="2026-06-30T00:00:00"/>
    <n v="8272.35"/>
  </r>
  <r>
    <x v="763"/>
    <d v="2025-10-09T00:00:00"/>
    <x v="9"/>
    <x v="2"/>
    <x v="3"/>
    <x v="0"/>
    <x v="1"/>
    <x v="3"/>
    <x v="5"/>
    <n v="461.98"/>
    <n v="4157.82"/>
    <x v="0"/>
    <x v="0"/>
    <d v="2026-06-30T00:00:00"/>
    <n v="4157.82"/>
  </r>
  <r>
    <x v="764"/>
    <d v="2025-10-09T00:00:00"/>
    <x v="9"/>
    <x v="2"/>
    <x v="0"/>
    <x v="2"/>
    <x v="2"/>
    <x v="2"/>
    <x v="5"/>
    <n v="468.58"/>
    <n v="4217.22"/>
    <x v="0"/>
    <x v="0"/>
    <d v="2026-06-30T00:00:00"/>
    <n v="4217.22"/>
  </r>
  <r>
    <x v="765"/>
    <d v="2025-10-09T00:00:00"/>
    <x v="9"/>
    <x v="0"/>
    <x v="0"/>
    <x v="1"/>
    <x v="2"/>
    <x v="0"/>
    <x v="5"/>
    <n v="1457.53"/>
    <n v="13117.77"/>
    <x v="0"/>
    <x v="0"/>
    <d v="2026-06-30T00:00:00"/>
    <n v="13117.77"/>
  </r>
  <r>
    <x v="766"/>
    <d v="2025-10-09T00:00:00"/>
    <x v="9"/>
    <x v="0"/>
    <x v="0"/>
    <x v="0"/>
    <x v="2"/>
    <x v="0"/>
    <x v="5"/>
    <n v="1354.5"/>
    <n v="12190.5"/>
    <x v="0"/>
    <x v="0"/>
    <d v="2026-06-30T00:00:00"/>
    <n v="12190.5"/>
  </r>
  <r>
    <x v="767"/>
    <d v="2025-10-10T00:00:00"/>
    <x v="9"/>
    <x v="1"/>
    <x v="3"/>
    <x v="2"/>
    <x v="0"/>
    <x v="0"/>
    <x v="5"/>
    <n v="849.67"/>
    <n v="7647.03"/>
    <x v="0"/>
    <x v="0"/>
    <d v="2026-06-30T00:00:00"/>
    <n v="7647.03"/>
  </r>
  <r>
    <x v="768"/>
    <d v="2025-10-10T00:00:00"/>
    <x v="9"/>
    <x v="0"/>
    <x v="3"/>
    <x v="0"/>
    <x v="2"/>
    <x v="2"/>
    <x v="5"/>
    <n v="1501.05"/>
    <n v="13509.45"/>
    <x v="0"/>
    <x v="0"/>
    <d v="2026-06-30T00:00:00"/>
    <n v="13509.45"/>
  </r>
  <r>
    <x v="769"/>
    <d v="2025-10-11T00:00:00"/>
    <x v="9"/>
    <x v="0"/>
    <x v="0"/>
    <x v="1"/>
    <x v="2"/>
    <x v="1"/>
    <x v="5"/>
    <n v="1462.74"/>
    <n v="13164.66"/>
    <x v="0"/>
    <x v="0"/>
    <d v="2026-06-30T00:00:00"/>
    <n v="13164.66"/>
  </r>
  <r>
    <x v="770"/>
    <d v="2025-10-11T00:00:00"/>
    <x v="9"/>
    <x v="2"/>
    <x v="1"/>
    <x v="4"/>
    <x v="0"/>
    <x v="0"/>
    <x v="5"/>
    <n v="451.83"/>
    <n v="4066.47"/>
    <x v="0"/>
    <x v="0"/>
    <d v="2026-06-30T00:00:00"/>
    <n v="4066.47"/>
  </r>
  <r>
    <x v="771"/>
    <d v="2025-10-11T00:00:00"/>
    <x v="9"/>
    <x v="2"/>
    <x v="1"/>
    <x v="1"/>
    <x v="2"/>
    <x v="0"/>
    <x v="5"/>
    <n v="518.15"/>
    <n v="4663.3500000000004"/>
    <x v="0"/>
    <x v="0"/>
    <d v="2026-06-30T00:00:00"/>
    <n v="4663.3500000000004"/>
  </r>
  <r>
    <x v="772"/>
    <d v="2025-10-12T00:00:00"/>
    <x v="9"/>
    <x v="1"/>
    <x v="0"/>
    <x v="3"/>
    <x v="2"/>
    <x v="0"/>
    <x v="5"/>
    <n v="936.92"/>
    <n v="8432.2800000000007"/>
    <x v="0"/>
    <x v="0"/>
    <d v="2026-06-30T00:00:00"/>
    <n v="8432.2800000000007"/>
  </r>
  <r>
    <x v="773"/>
    <d v="2025-10-12T00:00:00"/>
    <x v="9"/>
    <x v="0"/>
    <x v="3"/>
    <x v="0"/>
    <x v="2"/>
    <x v="1"/>
    <x v="5"/>
    <n v="1366.36"/>
    <n v="12297.24"/>
    <x v="0"/>
    <x v="0"/>
    <d v="2026-06-30T00:00:00"/>
    <n v="12297.24"/>
  </r>
  <r>
    <x v="774"/>
    <d v="2025-10-12T00:00:00"/>
    <x v="9"/>
    <x v="1"/>
    <x v="1"/>
    <x v="0"/>
    <x v="0"/>
    <x v="0"/>
    <x v="12"/>
    <n v="919.87"/>
    <n v="6439.09"/>
    <x v="1"/>
    <x v="4"/>
    <d v="2026-05-26T00:00:00"/>
    <n v="6439.09"/>
  </r>
  <r>
    <x v="775"/>
    <d v="2025-10-12T00:00:00"/>
    <x v="9"/>
    <x v="2"/>
    <x v="1"/>
    <x v="1"/>
    <x v="0"/>
    <x v="0"/>
    <x v="5"/>
    <n v="468.84"/>
    <n v="4219.5600000000004"/>
    <x v="0"/>
    <x v="0"/>
    <d v="2026-06-30T00:00:00"/>
    <n v="4219.5600000000004"/>
  </r>
  <r>
    <x v="776"/>
    <d v="2025-10-12T00:00:00"/>
    <x v="9"/>
    <x v="1"/>
    <x v="1"/>
    <x v="1"/>
    <x v="0"/>
    <x v="0"/>
    <x v="5"/>
    <n v="890.87"/>
    <n v="8017.83"/>
    <x v="0"/>
    <x v="0"/>
    <d v="2026-06-30T00:00:00"/>
    <n v="8017.83"/>
  </r>
  <r>
    <x v="777"/>
    <d v="2025-10-12T00:00:00"/>
    <x v="9"/>
    <x v="0"/>
    <x v="2"/>
    <x v="1"/>
    <x v="0"/>
    <x v="2"/>
    <x v="5"/>
    <n v="1510.25"/>
    <n v="13592.25"/>
    <x v="0"/>
    <x v="0"/>
    <d v="2026-06-30T00:00:00"/>
    <n v="13592.25"/>
  </r>
  <r>
    <x v="778"/>
    <d v="2025-10-12T00:00:00"/>
    <x v="9"/>
    <x v="0"/>
    <x v="1"/>
    <x v="1"/>
    <x v="2"/>
    <x v="0"/>
    <x v="12"/>
    <n v="1600.44"/>
    <n v="11203.08"/>
    <x v="1"/>
    <x v="1"/>
    <d v="2026-04-30T00:00:00"/>
    <n v="11203.08"/>
  </r>
  <r>
    <x v="779"/>
    <d v="2025-10-13T00:00:00"/>
    <x v="9"/>
    <x v="0"/>
    <x v="1"/>
    <x v="2"/>
    <x v="2"/>
    <x v="2"/>
    <x v="5"/>
    <n v="1375.74"/>
    <n v="12381.66"/>
    <x v="0"/>
    <x v="0"/>
    <d v="2026-06-30T00:00:00"/>
    <n v="12381.66"/>
  </r>
  <r>
    <x v="780"/>
    <d v="2025-10-13T00:00:00"/>
    <x v="9"/>
    <x v="1"/>
    <x v="3"/>
    <x v="1"/>
    <x v="2"/>
    <x v="2"/>
    <x v="5"/>
    <n v="918.95"/>
    <n v="8270.5499999999993"/>
    <x v="0"/>
    <x v="0"/>
    <d v="2026-06-30T00:00:00"/>
    <n v="8270.5499999999993"/>
  </r>
  <r>
    <x v="781"/>
    <d v="2025-10-13T00:00:00"/>
    <x v="9"/>
    <x v="2"/>
    <x v="2"/>
    <x v="0"/>
    <x v="2"/>
    <x v="0"/>
    <x v="5"/>
    <n v="503.89"/>
    <n v="4535.01"/>
    <x v="0"/>
    <x v="0"/>
    <d v="2026-06-30T00:00:00"/>
    <n v="4535.01"/>
  </r>
  <r>
    <x v="782"/>
    <d v="2025-10-13T00:00:00"/>
    <x v="9"/>
    <x v="2"/>
    <x v="0"/>
    <x v="4"/>
    <x v="2"/>
    <x v="1"/>
    <x v="5"/>
    <n v="477.21"/>
    <n v="4294.8900000000003"/>
    <x v="0"/>
    <x v="0"/>
    <d v="2026-06-30T00:00:00"/>
    <n v="4294.8900000000003"/>
  </r>
  <r>
    <x v="783"/>
    <d v="2025-10-14T00:00:00"/>
    <x v="9"/>
    <x v="2"/>
    <x v="3"/>
    <x v="2"/>
    <x v="2"/>
    <x v="2"/>
    <x v="5"/>
    <n v="499.97"/>
    <n v="4499.7299999999996"/>
    <x v="0"/>
    <x v="0"/>
    <d v="2026-06-30T00:00:00"/>
    <n v="4499.7299999999996"/>
  </r>
  <r>
    <x v="784"/>
    <d v="2025-10-14T00:00:00"/>
    <x v="9"/>
    <x v="1"/>
    <x v="1"/>
    <x v="0"/>
    <x v="0"/>
    <x v="1"/>
    <x v="5"/>
    <n v="856.06"/>
    <n v="7704.54"/>
    <x v="0"/>
    <x v="0"/>
    <d v="2026-06-30T00:00:00"/>
    <n v="7704.54"/>
  </r>
  <r>
    <x v="785"/>
    <d v="2025-10-14T00:00:00"/>
    <x v="9"/>
    <x v="1"/>
    <x v="1"/>
    <x v="1"/>
    <x v="2"/>
    <x v="0"/>
    <x v="5"/>
    <n v="943.36"/>
    <n v="8490.24"/>
    <x v="0"/>
    <x v="0"/>
    <d v="2026-06-30T00:00:00"/>
    <n v="8490.24"/>
  </r>
  <r>
    <x v="786"/>
    <d v="2025-10-14T00:00:00"/>
    <x v="9"/>
    <x v="2"/>
    <x v="2"/>
    <x v="4"/>
    <x v="2"/>
    <x v="3"/>
    <x v="5"/>
    <n v="515.70000000000005"/>
    <n v="4641.3"/>
    <x v="0"/>
    <x v="0"/>
    <d v="2026-06-30T00:00:00"/>
    <n v="4641.3"/>
  </r>
  <r>
    <x v="787"/>
    <d v="2025-10-14T00:00:00"/>
    <x v="9"/>
    <x v="1"/>
    <x v="2"/>
    <x v="3"/>
    <x v="2"/>
    <x v="3"/>
    <x v="5"/>
    <n v="845.58"/>
    <n v="7610.22"/>
    <x v="0"/>
    <x v="0"/>
    <d v="2026-06-30T00:00:00"/>
    <n v="7610.22"/>
  </r>
  <r>
    <x v="788"/>
    <d v="2025-10-14T00:00:00"/>
    <x v="9"/>
    <x v="2"/>
    <x v="1"/>
    <x v="3"/>
    <x v="0"/>
    <x v="0"/>
    <x v="5"/>
    <n v="547.01"/>
    <n v="4923.09"/>
    <x v="0"/>
    <x v="0"/>
    <d v="2026-06-30T00:00:00"/>
    <n v="4923.09"/>
  </r>
  <r>
    <x v="789"/>
    <d v="2025-10-14T00:00:00"/>
    <x v="9"/>
    <x v="1"/>
    <x v="1"/>
    <x v="3"/>
    <x v="2"/>
    <x v="0"/>
    <x v="11"/>
    <n v="848.84"/>
    <n v="4244.2"/>
    <x v="1"/>
    <x v="3"/>
    <d v="2026-03-20T00:00:00"/>
    <n v="4244.2"/>
  </r>
  <r>
    <x v="790"/>
    <d v="2025-10-15T00:00:00"/>
    <x v="9"/>
    <x v="0"/>
    <x v="3"/>
    <x v="1"/>
    <x v="1"/>
    <x v="2"/>
    <x v="4"/>
    <n v="1643.81"/>
    <n v="13150.48"/>
    <x v="0"/>
    <x v="0"/>
    <d v="2026-06-30T00:00:00"/>
    <n v="13150.48"/>
  </r>
  <r>
    <x v="791"/>
    <d v="2025-10-15T00:00:00"/>
    <x v="9"/>
    <x v="1"/>
    <x v="2"/>
    <x v="0"/>
    <x v="2"/>
    <x v="3"/>
    <x v="4"/>
    <n v="983.26"/>
    <n v="7866.08"/>
    <x v="0"/>
    <x v="0"/>
    <d v="2026-06-30T00:00:00"/>
    <n v="7866.08"/>
  </r>
  <r>
    <x v="792"/>
    <d v="2025-10-15T00:00:00"/>
    <x v="9"/>
    <x v="1"/>
    <x v="2"/>
    <x v="0"/>
    <x v="2"/>
    <x v="1"/>
    <x v="16"/>
    <n v="987.3"/>
    <n v="2961.9"/>
    <x v="1"/>
    <x v="2"/>
    <d v="2026-01-17T00:00:00"/>
    <n v="2961.9"/>
  </r>
  <r>
    <x v="793"/>
    <d v="2025-10-15T00:00:00"/>
    <x v="9"/>
    <x v="1"/>
    <x v="1"/>
    <x v="2"/>
    <x v="2"/>
    <x v="0"/>
    <x v="16"/>
    <n v="909.17"/>
    <n v="2727.51"/>
    <x v="1"/>
    <x v="2"/>
    <d v="2026-01-15T00:00:00"/>
    <n v="2727.51"/>
  </r>
  <r>
    <x v="794"/>
    <d v="2025-10-17T00:00:00"/>
    <x v="9"/>
    <x v="2"/>
    <x v="0"/>
    <x v="3"/>
    <x v="0"/>
    <x v="0"/>
    <x v="4"/>
    <n v="467.38"/>
    <n v="3739.04"/>
    <x v="0"/>
    <x v="0"/>
    <d v="2026-06-30T00:00:00"/>
    <n v="3739.04"/>
  </r>
  <r>
    <x v="795"/>
    <d v="2025-10-17T00:00:00"/>
    <x v="9"/>
    <x v="1"/>
    <x v="1"/>
    <x v="1"/>
    <x v="2"/>
    <x v="2"/>
    <x v="4"/>
    <n v="954.41"/>
    <n v="7635.28"/>
    <x v="0"/>
    <x v="0"/>
    <d v="2026-06-30T00:00:00"/>
    <n v="7635.28"/>
  </r>
  <r>
    <x v="796"/>
    <d v="2025-10-17T00:00:00"/>
    <x v="9"/>
    <x v="1"/>
    <x v="1"/>
    <x v="0"/>
    <x v="1"/>
    <x v="2"/>
    <x v="11"/>
    <n v="823.49"/>
    <n v="4117.45"/>
    <x v="1"/>
    <x v="3"/>
    <d v="2026-03-12T00:00:00"/>
    <n v="4117.45"/>
  </r>
  <r>
    <x v="797"/>
    <d v="2025-10-18T00:00:00"/>
    <x v="9"/>
    <x v="1"/>
    <x v="2"/>
    <x v="2"/>
    <x v="0"/>
    <x v="2"/>
    <x v="4"/>
    <n v="839.13"/>
    <n v="6713.04"/>
    <x v="0"/>
    <x v="0"/>
    <d v="2026-06-30T00:00:00"/>
    <n v="6713.04"/>
  </r>
  <r>
    <x v="798"/>
    <d v="2025-10-18T00:00:00"/>
    <x v="9"/>
    <x v="2"/>
    <x v="3"/>
    <x v="0"/>
    <x v="2"/>
    <x v="2"/>
    <x v="4"/>
    <n v="460.4"/>
    <n v="3683.2"/>
    <x v="0"/>
    <x v="0"/>
    <d v="2026-06-30T00:00:00"/>
    <n v="3683.2"/>
  </r>
  <r>
    <x v="799"/>
    <d v="2025-10-18T00:00:00"/>
    <x v="9"/>
    <x v="1"/>
    <x v="2"/>
    <x v="2"/>
    <x v="0"/>
    <x v="1"/>
    <x v="4"/>
    <n v="833.57"/>
    <n v="6668.56"/>
    <x v="0"/>
    <x v="0"/>
    <d v="2026-06-30T00:00:00"/>
    <n v="6668.56"/>
  </r>
  <r>
    <x v="800"/>
    <d v="2025-10-18T00:00:00"/>
    <x v="9"/>
    <x v="2"/>
    <x v="2"/>
    <x v="2"/>
    <x v="0"/>
    <x v="0"/>
    <x v="4"/>
    <n v="463.87"/>
    <n v="3710.96"/>
    <x v="0"/>
    <x v="0"/>
    <d v="2026-06-30T00:00:00"/>
    <n v="3710.96"/>
  </r>
  <r>
    <x v="801"/>
    <d v="2025-10-18T00:00:00"/>
    <x v="9"/>
    <x v="0"/>
    <x v="1"/>
    <x v="2"/>
    <x v="1"/>
    <x v="1"/>
    <x v="4"/>
    <n v="1513.41"/>
    <n v="12107.28"/>
    <x v="0"/>
    <x v="0"/>
    <d v="2026-06-30T00:00:00"/>
    <n v="12107.28"/>
  </r>
  <r>
    <x v="802"/>
    <d v="2025-10-18T00:00:00"/>
    <x v="9"/>
    <x v="1"/>
    <x v="1"/>
    <x v="0"/>
    <x v="2"/>
    <x v="0"/>
    <x v="4"/>
    <n v="869.61"/>
    <n v="6956.88"/>
    <x v="0"/>
    <x v="0"/>
    <d v="2026-06-30T00:00:00"/>
    <n v="6956.88"/>
  </r>
  <r>
    <x v="803"/>
    <d v="2025-10-19T00:00:00"/>
    <x v="9"/>
    <x v="1"/>
    <x v="1"/>
    <x v="3"/>
    <x v="2"/>
    <x v="2"/>
    <x v="11"/>
    <n v="837.04"/>
    <n v="4185.2"/>
    <x v="1"/>
    <x v="4"/>
    <d v="2026-03-12T00:00:00"/>
    <n v="4185.2"/>
  </r>
  <r>
    <x v="804"/>
    <d v="2025-10-20T00:00:00"/>
    <x v="9"/>
    <x v="2"/>
    <x v="1"/>
    <x v="0"/>
    <x v="0"/>
    <x v="1"/>
    <x v="4"/>
    <n v="496.21"/>
    <n v="3969.68"/>
    <x v="0"/>
    <x v="0"/>
    <d v="2026-06-30T00:00:00"/>
    <n v="3969.68"/>
  </r>
  <r>
    <x v="805"/>
    <d v="2025-10-20T00:00:00"/>
    <x v="9"/>
    <x v="0"/>
    <x v="1"/>
    <x v="2"/>
    <x v="0"/>
    <x v="3"/>
    <x v="4"/>
    <n v="1567.36"/>
    <n v="12538.88"/>
    <x v="0"/>
    <x v="0"/>
    <d v="2026-06-30T00:00:00"/>
    <n v="12538.88"/>
  </r>
  <r>
    <x v="806"/>
    <d v="2025-10-20T00:00:00"/>
    <x v="9"/>
    <x v="1"/>
    <x v="1"/>
    <x v="2"/>
    <x v="2"/>
    <x v="2"/>
    <x v="4"/>
    <n v="876.44"/>
    <n v="7011.52"/>
    <x v="0"/>
    <x v="0"/>
    <d v="2026-06-30T00:00:00"/>
    <n v="7011.52"/>
  </r>
  <r>
    <x v="807"/>
    <d v="2025-10-20T00:00:00"/>
    <x v="9"/>
    <x v="0"/>
    <x v="3"/>
    <x v="2"/>
    <x v="2"/>
    <x v="1"/>
    <x v="11"/>
    <n v="1624.7"/>
    <n v="8123.5"/>
    <x v="1"/>
    <x v="4"/>
    <d v="2026-03-20T00:00:00"/>
    <n v="8123.5"/>
  </r>
  <r>
    <x v="808"/>
    <d v="2025-10-20T00:00:00"/>
    <x v="9"/>
    <x v="2"/>
    <x v="1"/>
    <x v="3"/>
    <x v="2"/>
    <x v="0"/>
    <x v="4"/>
    <n v="455.72"/>
    <n v="3645.76"/>
    <x v="0"/>
    <x v="0"/>
    <d v="2026-06-30T00:00:00"/>
    <n v="3645.76"/>
  </r>
  <r>
    <x v="809"/>
    <d v="2025-10-21T00:00:00"/>
    <x v="9"/>
    <x v="1"/>
    <x v="3"/>
    <x v="3"/>
    <x v="1"/>
    <x v="0"/>
    <x v="4"/>
    <n v="886.75"/>
    <n v="7094"/>
    <x v="0"/>
    <x v="0"/>
    <d v="2026-06-30T00:00:00"/>
    <n v="7094"/>
  </r>
  <r>
    <x v="810"/>
    <d v="2025-10-21T00:00:00"/>
    <x v="9"/>
    <x v="0"/>
    <x v="0"/>
    <x v="1"/>
    <x v="2"/>
    <x v="3"/>
    <x v="4"/>
    <n v="1618.11"/>
    <n v="12944.88"/>
    <x v="0"/>
    <x v="0"/>
    <d v="2026-06-30T00:00:00"/>
    <n v="12944.88"/>
  </r>
  <r>
    <x v="811"/>
    <d v="2025-10-21T00:00:00"/>
    <x v="9"/>
    <x v="1"/>
    <x v="1"/>
    <x v="4"/>
    <x v="2"/>
    <x v="2"/>
    <x v="4"/>
    <n v="951.35"/>
    <n v="7610.8"/>
    <x v="0"/>
    <x v="0"/>
    <d v="2026-06-30T00:00:00"/>
    <n v="7610.8"/>
  </r>
  <r>
    <x v="812"/>
    <d v="2025-10-21T00:00:00"/>
    <x v="9"/>
    <x v="2"/>
    <x v="0"/>
    <x v="2"/>
    <x v="2"/>
    <x v="0"/>
    <x v="4"/>
    <n v="477.35"/>
    <n v="3818.8"/>
    <x v="0"/>
    <x v="0"/>
    <d v="2026-06-30T00:00:00"/>
    <n v="3818.8"/>
  </r>
  <r>
    <x v="813"/>
    <d v="2025-10-21T00:00:00"/>
    <x v="9"/>
    <x v="0"/>
    <x v="0"/>
    <x v="0"/>
    <x v="0"/>
    <x v="2"/>
    <x v="4"/>
    <n v="1594.12"/>
    <n v="12752.96"/>
    <x v="0"/>
    <x v="0"/>
    <d v="2026-06-30T00:00:00"/>
    <n v="12752.96"/>
  </r>
  <r>
    <x v="814"/>
    <d v="2025-10-21T00:00:00"/>
    <x v="9"/>
    <x v="2"/>
    <x v="3"/>
    <x v="0"/>
    <x v="2"/>
    <x v="0"/>
    <x v="4"/>
    <n v="453.77"/>
    <n v="3630.16"/>
    <x v="0"/>
    <x v="0"/>
    <d v="2026-06-30T00:00:00"/>
    <n v="3630.16"/>
  </r>
  <r>
    <x v="815"/>
    <d v="2025-10-22T00:00:00"/>
    <x v="9"/>
    <x v="2"/>
    <x v="0"/>
    <x v="3"/>
    <x v="2"/>
    <x v="2"/>
    <x v="4"/>
    <n v="530.92999999999995"/>
    <n v="4247.4399999999996"/>
    <x v="0"/>
    <x v="0"/>
    <d v="2026-06-30T00:00:00"/>
    <n v="4247.4399999999996"/>
  </r>
  <r>
    <x v="816"/>
    <d v="2025-10-23T00:00:00"/>
    <x v="9"/>
    <x v="1"/>
    <x v="1"/>
    <x v="0"/>
    <x v="2"/>
    <x v="1"/>
    <x v="14"/>
    <n v="826.43"/>
    <n v="4958.58"/>
    <x v="1"/>
    <x v="2"/>
    <d v="2026-04-21T00:00:00"/>
    <n v="4958.58"/>
  </r>
  <r>
    <x v="817"/>
    <d v="2025-10-23T00:00:00"/>
    <x v="9"/>
    <x v="2"/>
    <x v="1"/>
    <x v="3"/>
    <x v="1"/>
    <x v="1"/>
    <x v="11"/>
    <n v="514.02"/>
    <n v="2570.1"/>
    <x v="1"/>
    <x v="5"/>
    <d v="2026-04-04T00:00:00"/>
    <n v="2570.1"/>
  </r>
  <r>
    <x v="818"/>
    <d v="2025-10-23T00:00:00"/>
    <x v="9"/>
    <x v="2"/>
    <x v="3"/>
    <x v="0"/>
    <x v="2"/>
    <x v="1"/>
    <x v="4"/>
    <n v="491.76"/>
    <n v="3934.08"/>
    <x v="0"/>
    <x v="0"/>
    <d v="2026-06-30T00:00:00"/>
    <n v="3934.08"/>
  </r>
  <r>
    <x v="819"/>
    <d v="2025-10-24T00:00:00"/>
    <x v="9"/>
    <x v="0"/>
    <x v="1"/>
    <x v="1"/>
    <x v="0"/>
    <x v="0"/>
    <x v="3"/>
    <n v="1401.06"/>
    <n v="5604.24"/>
    <x v="1"/>
    <x v="5"/>
    <d v="2026-03-09T00:00:00"/>
    <n v="5604.24"/>
  </r>
  <r>
    <x v="820"/>
    <d v="2025-10-25T00:00:00"/>
    <x v="9"/>
    <x v="1"/>
    <x v="3"/>
    <x v="3"/>
    <x v="2"/>
    <x v="0"/>
    <x v="4"/>
    <n v="934.25"/>
    <n v="7474"/>
    <x v="0"/>
    <x v="0"/>
    <d v="2026-06-30T00:00:00"/>
    <n v="7474"/>
  </r>
  <r>
    <x v="821"/>
    <d v="2025-10-26T00:00:00"/>
    <x v="9"/>
    <x v="0"/>
    <x v="2"/>
    <x v="0"/>
    <x v="2"/>
    <x v="1"/>
    <x v="4"/>
    <n v="1536.81"/>
    <n v="12294.48"/>
    <x v="0"/>
    <x v="0"/>
    <d v="2026-06-30T00:00:00"/>
    <n v="12294.48"/>
  </r>
  <r>
    <x v="822"/>
    <d v="2025-10-26T00:00:00"/>
    <x v="9"/>
    <x v="0"/>
    <x v="1"/>
    <x v="4"/>
    <x v="0"/>
    <x v="0"/>
    <x v="4"/>
    <n v="1540.99"/>
    <n v="12327.92"/>
    <x v="0"/>
    <x v="0"/>
    <d v="2026-06-30T00:00:00"/>
    <n v="12327.92"/>
  </r>
  <r>
    <x v="823"/>
    <d v="2025-10-27T00:00:00"/>
    <x v="9"/>
    <x v="1"/>
    <x v="1"/>
    <x v="3"/>
    <x v="2"/>
    <x v="1"/>
    <x v="4"/>
    <n v="898.07"/>
    <n v="7184.56"/>
    <x v="0"/>
    <x v="0"/>
    <d v="2026-06-30T00:00:00"/>
    <n v="7184.56"/>
  </r>
  <r>
    <x v="824"/>
    <d v="2025-10-27T00:00:00"/>
    <x v="9"/>
    <x v="2"/>
    <x v="1"/>
    <x v="0"/>
    <x v="2"/>
    <x v="2"/>
    <x v="12"/>
    <n v="492.27"/>
    <n v="3445.89"/>
    <x v="1"/>
    <x v="2"/>
    <d v="2026-06-06T00:00:00"/>
    <n v="3445.89"/>
  </r>
  <r>
    <x v="825"/>
    <d v="2025-10-27T00:00:00"/>
    <x v="9"/>
    <x v="1"/>
    <x v="3"/>
    <x v="0"/>
    <x v="2"/>
    <x v="0"/>
    <x v="4"/>
    <n v="887.24"/>
    <n v="7097.92"/>
    <x v="0"/>
    <x v="0"/>
    <d v="2026-06-30T00:00:00"/>
    <n v="7097.92"/>
  </r>
  <r>
    <x v="826"/>
    <d v="2025-10-28T00:00:00"/>
    <x v="9"/>
    <x v="0"/>
    <x v="2"/>
    <x v="4"/>
    <x v="2"/>
    <x v="1"/>
    <x v="16"/>
    <n v="1408.51"/>
    <n v="4225.53"/>
    <x v="1"/>
    <x v="4"/>
    <d v="2026-02-02T00:00:00"/>
    <n v="4225.53"/>
  </r>
  <r>
    <x v="827"/>
    <d v="2025-10-29T00:00:00"/>
    <x v="9"/>
    <x v="2"/>
    <x v="1"/>
    <x v="0"/>
    <x v="2"/>
    <x v="1"/>
    <x v="13"/>
    <n v="548"/>
    <n v="548"/>
    <x v="1"/>
    <x v="1"/>
    <d v="2025-12-10T00:00:00"/>
    <n v="548"/>
  </r>
  <r>
    <x v="828"/>
    <d v="2025-10-29T00:00:00"/>
    <x v="9"/>
    <x v="2"/>
    <x v="2"/>
    <x v="0"/>
    <x v="1"/>
    <x v="1"/>
    <x v="4"/>
    <n v="491.98"/>
    <n v="3935.84"/>
    <x v="0"/>
    <x v="0"/>
    <d v="2026-06-30T00:00:00"/>
    <n v="3935.84"/>
  </r>
  <r>
    <x v="829"/>
    <d v="2025-10-29T00:00:00"/>
    <x v="9"/>
    <x v="2"/>
    <x v="2"/>
    <x v="0"/>
    <x v="2"/>
    <x v="0"/>
    <x v="4"/>
    <n v="509.5"/>
    <n v="4076"/>
    <x v="0"/>
    <x v="0"/>
    <d v="2026-06-30T00:00:00"/>
    <n v="4076"/>
  </r>
  <r>
    <x v="830"/>
    <d v="2025-10-29T00:00:00"/>
    <x v="9"/>
    <x v="1"/>
    <x v="1"/>
    <x v="0"/>
    <x v="1"/>
    <x v="2"/>
    <x v="4"/>
    <n v="967.03"/>
    <n v="7736.24"/>
    <x v="0"/>
    <x v="0"/>
    <d v="2026-06-30T00:00:00"/>
    <n v="7736.24"/>
  </r>
  <r>
    <x v="831"/>
    <d v="2025-10-29T00:00:00"/>
    <x v="9"/>
    <x v="1"/>
    <x v="0"/>
    <x v="0"/>
    <x v="2"/>
    <x v="1"/>
    <x v="4"/>
    <n v="864.74"/>
    <n v="6917.92"/>
    <x v="0"/>
    <x v="0"/>
    <d v="2026-06-30T00:00:00"/>
    <n v="6917.92"/>
  </r>
  <r>
    <x v="832"/>
    <d v="2025-10-30T00:00:00"/>
    <x v="9"/>
    <x v="0"/>
    <x v="1"/>
    <x v="1"/>
    <x v="2"/>
    <x v="0"/>
    <x v="4"/>
    <n v="1510.76"/>
    <n v="12086.08"/>
    <x v="0"/>
    <x v="0"/>
    <d v="2026-06-30T00:00:00"/>
    <n v="12086.08"/>
  </r>
  <r>
    <x v="833"/>
    <d v="2025-10-30T00:00:00"/>
    <x v="9"/>
    <x v="2"/>
    <x v="0"/>
    <x v="1"/>
    <x v="2"/>
    <x v="3"/>
    <x v="4"/>
    <n v="509.65"/>
    <n v="4077.2"/>
    <x v="0"/>
    <x v="0"/>
    <d v="2026-06-30T00:00:00"/>
    <n v="4077.2"/>
  </r>
  <r>
    <x v="834"/>
    <d v="2025-10-30T00:00:00"/>
    <x v="9"/>
    <x v="2"/>
    <x v="2"/>
    <x v="0"/>
    <x v="2"/>
    <x v="2"/>
    <x v="4"/>
    <n v="533.84"/>
    <n v="4270.72"/>
    <x v="0"/>
    <x v="0"/>
    <d v="2026-06-30T00:00:00"/>
    <n v="4270.72"/>
  </r>
  <r>
    <x v="835"/>
    <d v="2025-10-30T00:00:00"/>
    <x v="9"/>
    <x v="1"/>
    <x v="1"/>
    <x v="3"/>
    <x v="2"/>
    <x v="1"/>
    <x v="4"/>
    <n v="926.57"/>
    <n v="7412.56"/>
    <x v="0"/>
    <x v="0"/>
    <d v="2026-06-30T00:00:00"/>
    <n v="7412.56"/>
  </r>
  <r>
    <x v="836"/>
    <d v="2025-10-31T00:00:00"/>
    <x v="9"/>
    <x v="2"/>
    <x v="3"/>
    <x v="3"/>
    <x v="2"/>
    <x v="0"/>
    <x v="4"/>
    <n v="501.86"/>
    <n v="4014.88"/>
    <x v="0"/>
    <x v="0"/>
    <d v="2026-06-30T00:00:00"/>
    <n v="4014.88"/>
  </r>
  <r>
    <x v="837"/>
    <d v="2025-10-31T00:00:00"/>
    <x v="9"/>
    <x v="1"/>
    <x v="1"/>
    <x v="1"/>
    <x v="0"/>
    <x v="3"/>
    <x v="9"/>
    <n v="938.01"/>
    <n v="1876.02"/>
    <x v="1"/>
    <x v="2"/>
    <d v="2025-12-24T00:00:00"/>
    <n v="1876.02"/>
  </r>
  <r>
    <x v="838"/>
    <d v="2025-10-31T00:00:00"/>
    <x v="9"/>
    <x v="2"/>
    <x v="1"/>
    <x v="4"/>
    <x v="0"/>
    <x v="1"/>
    <x v="4"/>
    <n v="464.87"/>
    <n v="3718.96"/>
    <x v="0"/>
    <x v="0"/>
    <d v="2026-06-30T00:00:00"/>
    <n v="3718.96"/>
  </r>
  <r>
    <x v="839"/>
    <d v="2025-10-31T00:00:00"/>
    <x v="9"/>
    <x v="2"/>
    <x v="1"/>
    <x v="1"/>
    <x v="2"/>
    <x v="3"/>
    <x v="4"/>
    <n v="510.35"/>
    <n v="4082.8"/>
    <x v="0"/>
    <x v="0"/>
    <d v="2026-06-30T00:00:00"/>
    <n v="4082.8"/>
  </r>
  <r>
    <x v="840"/>
    <d v="2025-10-31T00:00:00"/>
    <x v="9"/>
    <x v="1"/>
    <x v="3"/>
    <x v="1"/>
    <x v="2"/>
    <x v="2"/>
    <x v="11"/>
    <n v="904.69"/>
    <n v="4523.45"/>
    <x v="1"/>
    <x v="4"/>
    <d v="2026-04-10T00:00:00"/>
    <n v="4523.45"/>
  </r>
  <r>
    <x v="841"/>
    <d v="2025-11-01T00:00:00"/>
    <x v="10"/>
    <x v="2"/>
    <x v="2"/>
    <x v="1"/>
    <x v="2"/>
    <x v="0"/>
    <x v="4"/>
    <n v="457.57"/>
    <n v="3660.56"/>
    <x v="0"/>
    <x v="0"/>
    <d v="2026-06-30T00:00:00"/>
    <n v="3660.56"/>
  </r>
  <r>
    <x v="842"/>
    <d v="2025-11-01T00:00:00"/>
    <x v="10"/>
    <x v="0"/>
    <x v="1"/>
    <x v="2"/>
    <x v="2"/>
    <x v="2"/>
    <x v="4"/>
    <n v="1359.01"/>
    <n v="10872.08"/>
    <x v="0"/>
    <x v="0"/>
    <d v="2026-06-30T00:00:00"/>
    <n v="10872.08"/>
  </r>
  <r>
    <x v="843"/>
    <d v="2025-11-02T00:00:00"/>
    <x v="10"/>
    <x v="1"/>
    <x v="1"/>
    <x v="2"/>
    <x v="2"/>
    <x v="0"/>
    <x v="9"/>
    <n v="900.05"/>
    <n v="1800.1"/>
    <x v="1"/>
    <x v="1"/>
    <d v="2026-01-14T00:00:00"/>
    <n v="1800.1"/>
  </r>
  <r>
    <x v="844"/>
    <d v="2025-11-02T00:00:00"/>
    <x v="10"/>
    <x v="2"/>
    <x v="2"/>
    <x v="0"/>
    <x v="2"/>
    <x v="1"/>
    <x v="4"/>
    <n v="469.63"/>
    <n v="3757.04"/>
    <x v="0"/>
    <x v="0"/>
    <d v="2026-06-30T00:00:00"/>
    <n v="3757.04"/>
  </r>
  <r>
    <x v="845"/>
    <d v="2025-11-02T00:00:00"/>
    <x v="10"/>
    <x v="1"/>
    <x v="0"/>
    <x v="0"/>
    <x v="2"/>
    <x v="3"/>
    <x v="14"/>
    <n v="871.78"/>
    <n v="5230.68"/>
    <x v="1"/>
    <x v="2"/>
    <d v="2026-04-21T00:00:00"/>
    <n v="5230.68"/>
  </r>
  <r>
    <x v="846"/>
    <d v="2025-11-03T00:00:00"/>
    <x v="10"/>
    <x v="2"/>
    <x v="1"/>
    <x v="0"/>
    <x v="2"/>
    <x v="1"/>
    <x v="4"/>
    <n v="463.63"/>
    <n v="3709.04"/>
    <x v="1"/>
    <x v="5"/>
    <d v="2026-06-23T00:00:00"/>
    <n v="3709.04"/>
  </r>
  <r>
    <x v="847"/>
    <d v="2025-11-03T00:00:00"/>
    <x v="10"/>
    <x v="2"/>
    <x v="1"/>
    <x v="2"/>
    <x v="2"/>
    <x v="0"/>
    <x v="16"/>
    <n v="520.47"/>
    <n v="1561.41"/>
    <x v="1"/>
    <x v="4"/>
    <d v="2026-01-27T00:00:00"/>
    <n v="1561.41"/>
  </r>
  <r>
    <x v="848"/>
    <d v="2025-11-03T00:00:00"/>
    <x v="10"/>
    <x v="1"/>
    <x v="1"/>
    <x v="3"/>
    <x v="1"/>
    <x v="0"/>
    <x v="3"/>
    <n v="810.92"/>
    <n v="3243.68"/>
    <x v="1"/>
    <x v="1"/>
    <d v="2026-03-11T00:00:00"/>
    <n v="3243.68"/>
  </r>
  <r>
    <x v="849"/>
    <d v="2025-11-03T00:00:00"/>
    <x v="10"/>
    <x v="1"/>
    <x v="0"/>
    <x v="1"/>
    <x v="2"/>
    <x v="0"/>
    <x v="4"/>
    <n v="929.22"/>
    <n v="7433.76"/>
    <x v="0"/>
    <x v="0"/>
    <d v="2026-06-30T00:00:00"/>
    <n v="7433.76"/>
  </r>
  <r>
    <x v="850"/>
    <d v="2025-11-04T00:00:00"/>
    <x v="10"/>
    <x v="1"/>
    <x v="2"/>
    <x v="4"/>
    <x v="2"/>
    <x v="0"/>
    <x v="4"/>
    <n v="940.22"/>
    <n v="7521.76"/>
    <x v="0"/>
    <x v="0"/>
    <d v="2026-06-30T00:00:00"/>
    <n v="7521.76"/>
  </r>
  <r>
    <x v="851"/>
    <d v="2025-11-04T00:00:00"/>
    <x v="10"/>
    <x v="2"/>
    <x v="3"/>
    <x v="0"/>
    <x v="0"/>
    <x v="1"/>
    <x v="4"/>
    <n v="507.44"/>
    <n v="4059.52"/>
    <x v="0"/>
    <x v="0"/>
    <d v="2026-06-30T00:00:00"/>
    <n v="4059.52"/>
  </r>
  <r>
    <x v="852"/>
    <d v="2025-11-05T00:00:00"/>
    <x v="10"/>
    <x v="1"/>
    <x v="0"/>
    <x v="1"/>
    <x v="0"/>
    <x v="3"/>
    <x v="12"/>
    <n v="965.38"/>
    <n v="6757.66"/>
    <x v="1"/>
    <x v="4"/>
    <d v="2026-06-02T00:00:00"/>
    <n v="6757.66"/>
  </r>
  <r>
    <x v="853"/>
    <d v="2025-11-05T00:00:00"/>
    <x v="10"/>
    <x v="0"/>
    <x v="2"/>
    <x v="3"/>
    <x v="2"/>
    <x v="0"/>
    <x v="4"/>
    <n v="1518.5"/>
    <n v="12148"/>
    <x v="0"/>
    <x v="0"/>
    <d v="2026-06-30T00:00:00"/>
    <n v="12148"/>
  </r>
  <r>
    <x v="854"/>
    <d v="2025-11-05T00:00:00"/>
    <x v="10"/>
    <x v="2"/>
    <x v="3"/>
    <x v="0"/>
    <x v="2"/>
    <x v="0"/>
    <x v="4"/>
    <n v="452.63"/>
    <n v="3621.04"/>
    <x v="0"/>
    <x v="0"/>
    <d v="2026-06-30T00:00:00"/>
    <n v="3621.04"/>
  </r>
  <r>
    <x v="855"/>
    <d v="2025-11-05T00:00:00"/>
    <x v="10"/>
    <x v="1"/>
    <x v="2"/>
    <x v="1"/>
    <x v="2"/>
    <x v="2"/>
    <x v="12"/>
    <n v="917.27"/>
    <n v="6420.89"/>
    <x v="1"/>
    <x v="5"/>
    <d v="2026-06-18T00:00:00"/>
    <n v="6420.89"/>
  </r>
  <r>
    <x v="856"/>
    <d v="2025-11-06T00:00:00"/>
    <x v="10"/>
    <x v="0"/>
    <x v="1"/>
    <x v="1"/>
    <x v="2"/>
    <x v="0"/>
    <x v="4"/>
    <n v="1568.91"/>
    <n v="12551.28"/>
    <x v="0"/>
    <x v="0"/>
    <d v="2026-06-30T00:00:00"/>
    <n v="12551.28"/>
  </r>
  <r>
    <x v="857"/>
    <d v="2025-11-06T00:00:00"/>
    <x v="10"/>
    <x v="1"/>
    <x v="2"/>
    <x v="0"/>
    <x v="2"/>
    <x v="2"/>
    <x v="4"/>
    <n v="944.97"/>
    <n v="7559.76"/>
    <x v="0"/>
    <x v="0"/>
    <d v="2026-06-30T00:00:00"/>
    <n v="7559.76"/>
  </r>
  <r>
    <x v="858"/>
    <d v="2025-11-07T00:00:00"/>
    <x v="10"/>
    <x v="1"/>
    <x v="2"/>
    <x v="2"/>
    <x v="0"/>
    <x v="1"/>
    <x v="4"/>
    <n v="819.77"/>
    <n v="6558.16"/>
    <x v="0"/>
    <x v="0"/>
    <d v="2026-06-30T00:00:00"/>
    <n v="6558.16"/>
  </r>
  <r>
    <x v="859"/>
    <d v="2025-11-07T00:00:00"/>
    <x v="10"/>
    <x v="2"/>
    <x v="1"/>
    <x v="3"/>
    <x v="2"/>
    <x v="1"/>
    <x v="4"/>
    <n v="536.12"/>
    <n v="4288.96"/>
    <x v="0"/>
    <x v="0"/>
    <d v="2026-06-30T00:00:00"/>
    <n v="4288.96"/>
  </r>
  <r>
    <x v="860"/>
    <d v="2025-11-07T00:00:00"/>
    <x v="10"/>
    <x v="2"/>
    <x v="2"/>
    <x v="0"/>
    <x v="0"/>
    <x v="0"/>
    <x v="4"/>
    <n v="500.93"/>
    <n v="4007.44"/>
    <x v="0"/>
    <x v="0"/>
    <d v="2026-06-30T00:00:00"/>
    <n v="4007.44"/>
  </r>
  <r>
    <x v="861"/>
    <d v="2025-11-07T00:00:00"/>
    <x v="10"/>
    <x v="2"/>
    <x v="0"/>
    <x v="1"/>
    <x v="0"/>
    <x v="3"/>
    <x v="4"/>
    <n v="498.99"/>
    <n v="3991.92"/>
    <x v="0"/>
    <x v="0"/>
    <d v="2026-06-30T00:00:00"/>
    <n v="3991.92"/>
  </r>
  <r>
    <x v="862"/>
    <d v="2025-11-07T00:00:00"/>
    <x v="10"/>
    <x v="1"/>
    <x v="1"/>
    <x v="1"/>
    <x v="0"/>
    <x v="0"/>
    <x v="4"/>
    <n v="968.55"/>
    <n v="7748.4"/>
    <x v="0"/>
    <x v="0"/>
    <d v="2026-06-30T00:00:00"/>
    <n v="7748.4"/>
  </r>
  <r>
    <x v="863"/>
    <d v="2025-11-08T00:00:00"/>
    <x v="10"/>
    <x v="0"/>
    <x v="2"/>
    <x v="1"/>
    <x v="0"/>
    <x v="0"/>
    <x v="4"/>
    <n v="1572.83"/>
    <n v="12582.64"/>
    <x v="0"/>
    <x v="0"/>
    <d v="2026-06-30T00:00:00"/>
    <n v="12582.64"/>
  </r>
  <r>
    <x v="864"/>
    <d v="2025-11-08T00:00:00"/>
    <x v="10"/>
    <x v="0"/>
    <x v="2"/>
    <x v="3"/>
    <x v="0"/>
    <x v="3"/>
    <x v="12"/>
    <n v="1417.32"/>
    <n v="9921.24"/>
    <x v="1"/>
    <x v="1"/>
    <d v="2026-06-13T00:00:00"/>
    <n v="9921.24"/>
  </r>
  <r>
    <x v="865"/>
    <d v="2025-11-08T00:00:00"/>
    <x v="10"/>
    <x v="0"/>
    <x v="0"/>
    <x v="4"/>
    <x v="2"/>
    <x v="0"/>
    <x v="4"/>
    <n v="1377.84"/>
    <n v="11022.72"/>
    <x v="0"/>
    <x v="0"/>
    <d v="2026-06-30T00:00:00"/>
    <n v="11022.72"/>
  </r>
  <r>
    <x v="866"/>
    <d v="2025-11-09T00:00:00"/>
    <x v="10"/>
    <x v="1"/>
    <x v="1"/>
    <x v="4"/>
    <x v="2"/>
    <x v="1"/>
    <x v="4"/>
    <n v="967.93"/>
    <n v="7743.44"/>
    <x v="0"/>
    <x v="0"/>
    <d v="2026-06-30T00:00:00"/>
    <n v="7743.44"/>
  </r>
  <r>
    <x v="867"/>
    <d v="2025-11-09T00:00:00"/>
    <x v="10"/>
    <x v="0"/>
    <x v="2"/>
    <x v="0"/>
    <x v="0"/>
    <x v="0"/>
    <x v="11"/>
    <n v="1352.22"/>
    <n v="6761.1"/>
    <x v="1"/>
    <x v="1"/>
    <d v="2026-04-25T00:00:00"/>
    <n v="6761.1"/>
  </r>
  <r>
    <x v="868"/>
    <d v="2025-11-09T00:00:00"/>
    <x v="10"/>
    <x v="2"/>
    <x v="1"/>
    <x v="1"/>
    <x v="1"/>
    <x v="3"/>
    <x v="4"/>
    <n v="537.55999999999995"/>
    <n v="4300.4799999999996"/>
    <x v="0"/>
    <x v="0"/>
    <d v="2026-06-30T00:00:00"/>
    <n v="4300.4799999999996"/>
  </r>
  <r>
    <x v="869"/>
    <d v="2025-11-10T00:00:00"/>
    <x v="10"/>
    <x v="1"/>
    <x v="2"/>
    <x v="2"/>
    <x v="2"/>
    <x v="0"/>
    <x v="9"/>
    <n v="874.28"/>
    <n v="1748.56"/>
    <x v="1"/>
    <x v="4"/>
    <d v="2025-12-26T00:00:00"/>
    <n v="1748.56"/>
  </r>
  <r>
    <x v="870"/>
    <d v="2025-11-10T00:00:00"/>
    <x v="10"/>
    <x v="1"/>
    <x v="0"/>
    <x v="3"/>
    <x v="2"/>
    <x v="1"/>
    <x v="12"/>
    <n v="862.66"/>
    <n v="6038.62"/>
    <x v="1"/>
    <x v="1"/>
    <d v="2026-06-13T00:00:00"/>
    <n v="6038.62"/>
  </r>
  <r>
    <x v="871"/>
    <d v="2025-11-10T00:00:00"/>
    <x v="10"/>
    <x v="2"/>
    <x v="1"/>
    <x v="4"/>
    <x v="2"/>
    <x v="1"/>
    <x v="16"/>
    <n v="509.01"/>
    <n v="1527.03"/>
    <x v="1"/>
    <x v="2"/>
    <d v="2026-02-02T00:00:00"/>
    <n v="1527.03"/>
  </r>
  <r>
    <x v="872"/>
    <d v="2025-11-11T00:00:00"/>
    <x v="10"/>
    <x v="1"/>
    <x v="2"/>
    <x v="1"/>
    <x v="2"/>
    <x v="1"/>
    <x v="3"/>
    <n v="891.84"/>
    <n v="3567.36"/>
    <x v="1"/>
    <x v="1"/>
    <d v="2026-03-01T00:00:00"/>
    <n v="3567.36"/>
  </r>
  <r>
    <x v="873"/>
    <d v="2025-11-12T00:00:00"/>
    <x v="10"/>
    <x v="2"/>
    <x v="2"/>
    <x v="0"/>
    <x v="0"/>
    <x v="2"/>
    <x v="4"/>
    <n v="489.32"/>
    <n v="3914.56"/>
    <x v="0"/>
    <x v="0"/>
    <d v="2026-06-30T00:00:00"/>
    <n v="3914.56"/>
  </r>
  <r>
    <x v="874"/>
    <d v="2025-11-12T00:00:00"/>
    <x v="10"/>
    <x v="2"/>
    <x v="1"/>
    <x v="0"/>
    <x v="2"/>
    <x v="0"/>
    <x v="3"/>
    <n v="530.88"/>
    <n v="2123.52"/>
    <x v="1"/>
    <x v="4"/>
    <d v="2026-02-28T00:00:00"/>
    <n v="2123.52"/>
  </r>
  <r>
    <x v="875"/>
    <d v="2025-11-13T00:00:00"/>
    <x v="10"/>
    <x v="1"/>
    <x v="0"/>
    <x v="3"/>
    <x v="2"/>
    <x v="1"/>
    <x v="4"/>
    <n v="932.77"/>
    <n v="7462.16"/>
    <x v="0"/>
    <x v="0"/>
    <d v="2026-06-30T00:00:00"/>
    <n v="7462.16"/>
  </r>
  <r>
    <x v="876"/>
    <d v="2025-11-13T00:00:00"/>
    <x v="10"/>
    <x v="2"/>
    <x v="0"/>
    <x v="3"/>
    <x v="2"/>
    <x v="0"/>
    <x v="4"/>
    <n v="464.71"/>
    <n v="3717.68"/>
    <x v="0"/>
    <x v="0"/>
    <d v="2026-06-30T00:00:00"/>
    <n v="3717.68"/>
  </r>
  <r>
    <x v="877"/>
    <d v="2025-11-15T00:00:00"/>
    <x v="10"/>
    <x v="1"/>
    <x v="1"/>
    <x v="3"/>
    <x v="2"/>
    <x v="0"/>
    <x v="11"/>
    <n v="870.45"/>
    <n v="4352.25"/>
    <x v="1"/>
    <x v="2"/>
    <d v="2026-04-17T00:00:00"/>
    <n v="4352.25"/>
  </r>
  <r>
    <x v="878"/>
    <d v="2025-11-16T00:00:00"/>
    <x v="10"/>
    <x v="2"/>
    <x v="2"/>
    <x v="2"/>
    <x v="1"/>
    <x v="2"/>
    <x v="11"/>
    <n v="506.03"/>
    <n v="2530.15"/>
    <x v="1"/>
    <x v="4"/>
    <d v="2026-04-10T00:00:00"/>
    <n v="2530.15"/>
  </r>
  <r>
    <x v="879"/>
    <d v="2025-11-16T00:00:00"/>
    <x v="10"/>
    <x v="0"/>
    <x v="1"/>
    <x v="2"/>
    <x v="0"/>
    <x v="2"/>
    <x v="14"/>
    <n v="1582.09"/>
    <n v="9492.5400000000009"/>
    <x v="1"/>
    <x v="1"/>
    <d v="2026-05-10T00:00:00"/>
    <n v="9492.5400000000009"/>
  </r>
  <r>
    <x v="880"/>
    <d v="2025-11-17T00:00:00"/>
    <x v="10"/>
    <x v="0"/>
    <x v="1"/>
    <x v="4"/>
    <x v="0"/>
    <x v="0"/>
    <x v="12"/>
    <n v="1602.72"/>
    <n v="11219.04"/>
    <x v="0"/>
    <x v="0"/>
    <d v="2026-06-30T00:00:00"/>
    <n v="11219.04"/>
  </r>
  <r>
    <x v="881"/>
    <d v="2025-11-17T00:00:00"/>
    <x v="10"/>
    <x v="1"/>
    <x v="2"/>
    <x v="0"/>
    <x v="2"/>
    <x v="3"/>
    <x v="12"/>
    <n v="947.5"/>
    <n v="6632.5"/>
    <x v="0"/>
    <x v="0"/>
    <d v="2026-06-30T00:00:00"/>
    <n v="6632.5"/>
  </r>
  <r>
    <x v="882"/>
    <d v="2025-11-18T00:00:00"/>
    <x v="10"/>
    <x v="1"/>
    <x v="1"/>
    <x v="4"/>
    <x v="2"/>
    <x v="2"/>
    <x v="12"/>
    <n v="837.22"/>
    <n v="5860.54"/>
    <x v="0"/>
    <x v="0"/>
    <d v="2026-06-30T00:00:00"/>
    <n v="5860.54"/>
  </r>
  <r>
    <x v="883"/>
    <d v="2025-11-19T00:00:00"/>
    <x v="10"/>
    <x v="2"/>
    <x v="3"/>
    <x v="4"/>
    <x v="2"/>
    <x v="0"/>
    <x v="12"/>
    <n v="501.46"/>
    <n v="3510.22"/>
    <x v="0"/>
    <x v="0"/>
    <d v="2026-06-30T00:00:00"/>
    <n v="3510.22"/>
  </r>
  <r>
    <x v="884"/>
    <d v="2025-11-20T00:00:00"/>
    <x v="10"/>
    <x v="1"/>
    <x v="3"/>
    <x v="2"/>
    <x v="1"/>
    <x v="2"/>
    <x v="12"/>
    <n v="838.88"/>
    <n v="5872.16"/>
    <x v="0"/>
    <x v="0"/>
    <d v="2026-06-30T00:00:00"/>
    <n v="5872.16"/>
  </r>
  <r>
    <x v="885"/>
    <d v="2025-11-21T00:00:00"/>
    <x v="10"/>
    <x v="2"/>
    <x v="2"/>
    <x v="1"/>
    <x v="2"/>
    <x v="3"/>
    <x v="12"/>
    <n v="482.28"/>
    <n v="3375.96"/>
    <x v="0"/>
    <x v="0"/>
    <d v="2026-06-30T00:00:00"/>
    <n v="3375.96"/>
  </r>
  <r>
    <x v="886"/>
    <d v="2025-11-21T00:00:00"/>
    <x v="10"/>
    <x v="2"/>
    <x v="1"/>
    <x v="4"/>
    <x v="0"/>
    <x v="2"/>
    <x v="12"/>
    <n v="532.89"/>
    <n v="3730.23"/>
    <x v="0"/>
    <x v="0"/>
    <d v="2026-06-30T00:00:00"/>
    <n v="3730.23"/>
  </r>
  <r>
    <x v="887"/>
    <d v="2025-11-22T00:00:00"/>
    <x v="10"/>
    <x v="2"/>
    <x v="3"/>
    <x v="2"/>
    <x v="1"/>
    <x v="0"/>
    <x v="12"/>
    <n v="533.21"/>
    <n v="3732.47"/>
    <x v="0"/>
    <x v="0"/>
    <d v="2026-06-30T00:00:00"/>
    <n v="3732.47"/>
  </r>
  <r>
    <x v="888"/>
    <d v="2025-11-22T00:00:00"/>
    <x v="10"/>
    <x v="1"/>
    <x v="3"/>
    <x v="0"/>
    <x v="2"/>
    <x v="3"/>
    <x v="12"/>
    <n v="814.61"/>
    <n v="5702.27"/>
    <x v="0"/>
    <x v="0"/>
    <d v="2026-06-30T00:00:00"/>
    <n v="5702.27"/>
  </r>
  <r>
    <x v="889"/>
    <d v="2025-11-22T00:00:00"/>
    <x v="10"/>
    <x v="2"/>
    <x v="0"/>
    <x v="1"/>
    <x v="1"/>
    <x v="0"/>
    <x v="12"/>
    <n v="511.14"/>
    <n v="3577.98"/>
    <x v="0"/>
    <x v="0"/>
    <d v="2026-06-30T00:00:00"/>
    <n v="3577.98"/>
  </r>
  <r>
    <x v="890"/>
    <d v="2025-11-22T00:00:00"/>
    <x v="10"/>
    <x v="0"/>
    <x v="1"/>
    <x v="1"/>
    <x v="2"/>
    <x v="2"/>
    <x v="12"/>
    <n v="1503.11"/>
    <n v="10521.77"/>
    <x v="0"/>
    <x v="0"/>
    <d v="2026-06-30T00:00:00"/>
    <n v="10521.77"/>
  </r>
  <r>
    <x v="891"/>
    <d v="2025-11-23T00:00:00"/>
    <x v="10"/>
    <x v="1"/>
    <x v="1"/>
    <x v="0"/>
    <x v="2"/>
    <x v="0"/>
    <x v="3"/>
    <n v="821.45"/>
    <n v="3285.8"/>
    <x v="1"/>
    <x v="1"/>
    <d v="2026-03-14T00:00:00"/>
    <n v="3285.8"/>
  </r>
  <r>
    <x v="892"/>
    <d v="2025-11-23T00:00:00"/>
    <x v="10"/>
    <x v="1"/>
    <x v="2"/>
    <x v="2"/>
    <x v="2"/>
    <x v="1"/>
    <x v="12"/>
    <n v="941.15"/>
    <n v="6588.05"/>
    <x v="0"/>
    <x v="0"/>
    <d v="2026-06-30T00:00:00"/>
    <n v="6588.05"/>
  </r>
  <r>
    <x v="893"/>
    <d v="2025-11-24T00:00:00"/>
    <x v="10"/>
    <x v="2"/>
    <x v="2"/>
    <x v="1"/>
    <x v="0"/>
    <x v="2"/>
    <x v="12"/>
    <n v="505.58"/>
    <n v="3539.06"/>
    <x v="0"/>
    <x v="0"/>
    <d v="2026-06-30T00:00:00"/>
    <n v="3539.06"/>
  </r>
  <r>
    <x v="894"/>
    <d v="2025-11-24T00:00:00"/>
    <x v="10"/>
    <x v="2"/>
    <x v="0"/>
    <x v="1"/>
    <x v="2"/>
    <x v="0"/>
    <x v="12"/>
    <n v="505.97"/>
    <n v="3541.79"/>
    <x v="0"/>
    <x v="0"/>
    <d v="2026-06-30T00:00:00"/>
    <n v="3541.79"/>
  </r>
  <r>
    <x v="895"/>
    <d v="2025-11-24T00:00:00"/>
    <x v="10"/>
    <x v="1"/>
    <x v="1"/>
    <x v="3"/>
    <x v="0"/>
    <x v="3"/>
    <x v="12"/>
    <n v="913.21"/>
    <n v="6392.47"/>
    <x v="0"/>
    <x v="0"/>
    <d v="2026-06-30T00:00:00"/>
    <n v="6392.47"/>
  </r>
  <r>
    <x v="896"/>
    <d v="2025-11-24T00:00:00"/>
    <x v="10"/>
    <x v="1"/>
    <x v="0"/>
    <x v="0"/>
    <x v="2"/>
    <x v="2"/>
    <x v="12"/>
    <n v="910.57"/>
    <n v="6373.99"/>
    <x v="0"/>
    <x v="0"/>
    <d v="2026-06-30T00:00:00"/>
    <n v="6373.99"/>
  </r>
  <r>
    <x v="897"/>
    <d v="2025-11-25T00:00:00"/>
    <x v="10"/>
    <x v="2"/>
    <x v="3"/>
    <x v="3"/>
    <x v="2"/>
    <x v="0"/>
    <x v="11"/>
    <n v="524.39"/>
    <n v="2621.95"/>
    <x v="1"/>
    <x v="2"/>
    <d v="2026-04-18T00:00:00"/>
    <n v="2621.95"/>
  </r>
  <r>
    <x v="898"/>
    <d v="2025-11-26T00:00:00"/>
    <x v="10"/>
    <x v="1"/>
    <x v="3"/>
    <x v="4"/>
    <x v="0"/>
    <x v="1"/>
    <x v="12"/>
    <n v="830.04"/>
    <n v="5810.28"/>
    <x v="0"/>
    <x v="0"/>
    <d v="2026-06-30T00:00:00"/>
    <n v="5810.28"/>
  </r>
  <r>
    <x v="899"/>
    <d v="2025-11-26T00:00:00"/>
    <x v="10"/>
    <x v="0"/>
    <x v="0"/>
    <x v="0"/>
    <x v="2"/>
    <x v="0"/>
    <x v="12"/>
    <n v="1379.18"/>
    <n v="9654.26"/>
    <x v="0"/>
    <x v="0"/>
    <d v="2026-06-30T00:00:00"/>
    <n v="9654.26"/>
  </r>
  <r>
    <x v="900"/>
    <d v="2025-11-27T00:00:00"/>
    <x v="10"/>
    <x v="1"/>
    <x v="1"/>
    <x v="2"/>
    <x v="0"/>
    <x v="1"/>
    <x v="12"/>
    <n v="928.18"/>
    <n v="6497.26"/>
    <x v="0"/>
    <x v="0"/>
    <d v="2026-06-30T00:00:00"/>
    <n v="6497.26"/>
  </r>
  <r>
    <x v="901"/>
    <d v="2025-11-27T00:00:00"/>
    <x v="10"/>
    <x v="2"/>
    <x v="1"/>
    <x v="1"/>
    <x v="1"/>
    <x v="0"/>
    <x v="12"/>
    <n v="495.24"/>
    <n v="3466.68"/>
    <x v="0"/>
    <x v="0"/>
    <d v="2026-06-30T00:00:00"/>
    <n v="3466.68"/>
  </r>
  <r>
    <x v="902"/>
    <d v="2025-11-28T00:00:00"/>
    <x v="10"/>
    <x v="2"/>
    <x v="3"/>
    <x v="0"/>
    <x v="2"/>
    <x v="2"/>
    <x v="12"/>
    <n v="458.8"/>
    <n v="3211.6"/>
    <x v="0"/>
    <x v="0"/>
    <d v="2026-06-30T00:00:00"/>
    <n v="3211.6"/>
  </r>
  <r>
    <x v="903"/>
    <d v="2025-11-28T00:00:00"/>
    <x v="10"/>
    <x v="1"/>
    <x v="0"/>
    <x v="2"/>
    <x v="2"/>
    <x v="3"/>
    <x v="12"/>
    <n v="967.47"/>
    <n v="6772.29"/>
    <x v="0"/>
    <x v="0"/>
    <d v="2026-06-30T00:00:00"/>
    <n v="6772.29"/>
  </r>
  <r>
    <x v="904"/>
    <d v="2025-11-29T00:00:00"/>
    <x v="10"/>
    <x v="1"/>
    <x v="1"/>
    <x v="0"/>
    <x v="0"/>
    <x v="0"/>
    <x v="12"/>
    <n v="937.44"/>
    <n v="6562.08"/>
    <x v="0"/>
    <x v="0"/>
    <d v="2026-06-30T00:00:00"/>
    <n v="6562.08"/>
  </r>
  <r>
    <x v="905"/>
    <d v="2025-11-30T00:00:00"/>
    <x v="10"/>
    <x v="2"/>
    <x v="1"/>
    <x v="2"/>
    <x v="0"/>
    <x v="1"/>
    <x v="12"/>
    <n v="532.73"/>
    <n v="3729.11"/>
    <x v="0"/>
    <x v="0"/>
    <d v="2026-06-30T00:00:00"/>
    <n v="3729.11"/>
  </r>
  <r>
    <x v="906"/>
    <d v="2025-12-01T00:00:00"/>
    <x v="11"/>
    <x v="1"/>
    <x v="2"/>
    <x v="0"/>
    <x v="2"/>
    <x v="2"/>
    <x v="12"/>
    <n v="975.2"/>
    <n v="6826.4"/>
    <x v="0"/>
    <x v="0"/>
    <d v="2026-06-30T00:00:00"/>
    <n v="6826.4"/>
  </r>
  <r>
    <x v="907"/>
    <d v="2025-12-01T00:00:00"/>
    <x v="11"/>
    <x v="1"/>
    <x v="2"/>
    <x v="1"/>
    <x v="2"/>
    <x v="2"/>
    <x v="12"/>
    <n v="837.28"/>
    <n v="5860.96"/>
    <x v="0"/>
    <x v="0"/>
    <d v="2026-06-30T00:00:00"/>
    <n v="5860.96"/>
  </r>
  <r>
    <x v="908"/>
    <d v="2025-12-01T00:00:00"/>
    <x v="11"/>
    <x v="1"/>
    <x v="2"/>
    <x v="4"/>
    <x v="2"/>
    <x v="1"/>
    <x v="11"/>
    <n v="840.38"/>
    <n v="4201.8999999999996"/>
    <x v="1"/>
    <x v="4"/>
    <d v="2026-05-04T00:00:00"/>
    <n v="4201.8999999999996"/>
  </r>
  <r>
    <x v="909"/>
    <d v="2025-12-01T00:00:00"/>
    <x v="11"/>
    <x v="1"/>
    <x v="1"/>
    <x v="3"/>
    <x v="2"/>
    <x v="0"/>
    <x v="12"/>
    <n v="915.32"/>
    <n v="6407.24"/>
    <x v="0"/>
    <x v="0"/>
    <d v="2026-06-30T00:00:00"/>
    <n v="6407.24"/>
  </r>
  <r>
    <x v="910"/>
    <d v="2025-12-02T00:00:00"/>
    <x v="11"/>
    <x v="0"/>
    <x v="1"/>
    <x v="2"/>
    <x v="2"/>
    <x v="0"/>
    <x v="12"/>
    <n v="1452.74"/>
    <n v="10169.18"/>
    <x v="0"/>
    <x v="0"/>
    <d v="2026-06-30T00:00:00"/>
    <n v="10169.18"/>
  </r>
  <r>
    <x v="911"/>
    <d v="2025-12-02T00:00:00"/>
    <x v="11"/>
    <x v="1"/>
    <x v="2"/>
    <x v="1"/>
    <x v="1"/>
    <x v="2"/>
    <x v="12"/>
    <n v="980.62"/>
    <n v="6864.34"/>
    <x v="0"/>
    <x v="0"/>
    <d v="2026-06-30T00:00:00"/>
    <n v="6864.34"/>
  </r>
  <r>
    <x v="912"/>
    <d v="2025-12-02T00:00:00"/>
    <x v="11"/>
    <x v="2"/>
    <x v="2"/>
    <x v="4"/>
    <x v="2"/>
    <x v="0"/>
    <x v="12"/>
    <n v="465.25"/>
    <n v="3256.75"/>
    <x v="0"/>
    <x v="0"/>
    <d v="2026-06-30T00:00:00"/>
    <n v="3256.75"/>
  </r>
  <r>
    <x v="913"/>
    <d v="2025-12-02T00:00:00"/>
    <x v="11"/>
    <x v="2"/>
    <x v="3"/>
    <x v="2"/>
    <x v="2"/>
    <x v="0"/>
    <x v="12"/>
    <n v="473.82"/>
    <n v="3316.74"/>
    <x v="0"/>
    <x v="0"/>
    <d v="2026-06-30T00:00:00"/>
    <n v="3316.74"/>
  </r>
  <r>
    <x v="914"/>
    <d v="2025-12-03T00:00:00"/>
    <x v="11"/>
    <x v="1"/>
    <x v="2"/>
    <x v="1"/>
    <x v="1"/>
    <x v="0"/>
    <x v="12"/>
    <n v="840.35"/>
    <n v="5882.45"/>
    <x v="0"/>
    <x v="0"/>
    <d v="2026-06-30T00:00:00"/>
    <n v="5882.45"/>
  </r>
  <r>
    <x v="915"/>
    <d v="2025-12-03T00:00:00"/>
    <x v="11"/>
    <x v="2"/>
    <x v="1"/>
    <x v="0"/>
    <x v="0"/>
    <x v="0"/>
    <x v="14"/>
    <n v="530.79"/>
    <n v="3184.74"/>
    <x v="1"/>
    <x v="2"/>
    <d v="2026-06-13T00:00:00"/>
    <n v="3184.74"/>
  </r>
  <r>
    <x v="916"/>
    <d v="2025-12-03T00:00:00"/>
    <x v="11"/>
    <x v="2"/>
    <x v="3"/>
    <x v="0"/>
    <x v="0"/>
    <x v="3"/>
    <x v="12"/>
    <n v="541.86"/>
    <n v="3793.02"/>
    <x v="0"/>
    <x v="0"/>
    <d v="2026-06-30T00:00:00"/>
    <n v="3793.02"/>
  </r>
  <r>
    <x v="917"/>
    <d v="2025-12-04T00:00:00"/>
    <x v="11"/>
    <x v="2"/>
    <x v="1"/>
    <x v="3"/>
    <x v="1"/>
    <x v="1"/>
    <x v="12"/>
    <n v="494.58"/>
    <n v="3462.06"/>
    <x v="0"/>
    <x v="0"/>
    <d v="2026-06-30T00:00:00"/>
    <n v="3462.06"/>
  </r>
  <r>
    <x v="918"/>
    <d v="2025-12-04T00:00:00"/>
    <x v="11"/>
    <x v="0"/>
    <x v="0"/>
    <x v="1"/>
    <x v="0"/>
    <x v="2"/>
    <x v="12"/>
    <n v="1394.58"/>
    <n v="9762.06"/>
    <x v="0"/>
    <x v="0"/>
    <d v="2026-06-30T00:00:00"/>
    <n v="9762.06"/>
  </r>
  <r>
    <x v="919"/>
    <d v="2025-12-04T00:00:00"/>
    <x v="11"/>
    <x v="1"/>
    <x v="3"/>
    <x v="1"/>
    <x v="0"/>
    <x v="2"/>
    <x v="13"/>
    <n v="921.63"/>
    <n v="921.63"/>
    <x v="1"/>
    <x v="5"/>
    <d v="2026-01-09T00:00:00"/>
    <n v="921.63"/>
  </r>
  <r>
    <x v="920"/>
    <d v="2025-12-04T00:00:00"/>
    <x v="11"/>
    <x v="1"/>
    <x v="1"/>
    <x v="1"/>
    <x v="1"/>
    <x v="0"/>
    <x v="12"/>
    <n v="953.01"/>
    <n v="6671.07"/>
    <x v="0"/>
    <x v="0"/>
    <d v="2026-06-30T00:00:00"/>
    <n v="6671.07"/>
  </r>
  <r>
    <x v="921"/>
    <d v="2025-12-04T00:00:00"/>
    <x v="11"/>
    <x v="2"/>
    <x v="1"/>
    <x v="1"/>
    <x v="2"/>
    <x v="2"/>
    <x v="12"/>
    <n v="542.1"/>
    <n v="3794.7"/>
    <x v="0"/>
    <x v="0"/>
    <d v="2026-06-30T00:00:00"/>
    <n v="3794.7"/>
  </r>
  <r>
    <x v="922"/>
    <d v="2025-12-05T00:00:00"/>
    <x v="11"/>
    <x v="1"/>
    <x v="1"/>
    <x v="1"/>
    <x v="2"/>
    <x v="0"/>
    <x v="12"/>
    <n v="924.07"/>
    <n v="6468.49"/>
    <x v="0"/>
    <x v="0"/>
    <d v="2026-06-30T00:00:00"/>
    <n v="6468.49"/>
  </r>
  <r>
    <x v="923"/>
    <d v="2025-12-05T00:00:00"/>
    <x v="11"/>
    <x v="2"/>
    <x v="2"/>
    <x v="2"/>
    <x v="0"/>
    <x v="1"/>
    <x v="12"/>
    <n v="488.4"/>
    <n v="3418.8"/>
    <x v="0"/>
    <x v="0"/>
    <d v="2026-06-30T00:00:00"/>
    <n v="3418.8"/>
  </r>
  <r>
    <x v="924"/>
    <d v="2025-12-05T00:00:00"/>
    <x v="11"/>
    <x v="2"/>
    <x v="2"/>
    <x v="4"/>
    <x v="2"/>
    <x v="0"/>
    <x v="12"/>
    <n v="495.58"/>
    <n v="3469.06"/>
    <x v="0"/>
    <x v="0"/>
    <d v="2026-06-30T00:00:00"/>
    <n v="3469.06"/>
  </r>
  <r>
    <x v="925"/>
    <d v="2025-12-05T00:00:00"/>
    <x v="11"/>
    <x v="0"/>
    <x v="0"/>
    <x v="4"/>
    <x v="2"/>
    <x v="0"/>
    <x v="12"/>
    <n v="1607.3"/>
    <n v="11251.1"/>
    <x v="0"/>
    <x v="0"/>
    <d v="2026-06-30T00:00:00"/>
    <n v="11251.1"/>
  </r>
  <r>
    <x v="926"/>
    <d v="2025-12-05T00:00:00"/>
    <x v="11"/>
    <x v="1"/>
    <x v="0"/>
    <x v="0"/>
    <x v="2"/>
    <x v="1"/>
    <x v="3"/>
    <n v="930.2"/>
    <n v="3720.8"/>
    <x v="1"/>
    <x v="5"/>
    <d v="2026-04-18T00:00:00"/>
    <n v="3720.8"/>
  </r>
  <r>
    <x v="927"/>
    <d v="2025-12-06T00:00:00"/>
    <x v="11"/>
    <x v="0"/>
    <x v="0"/>
    <x v="0"/>
    <x v="2"/>
    <x v="0"/>
    <x v="12"/>
    <n v="1407.51"/>
    <n v="9852.57"/>
    <x v="0"/>
    <x v="0"/>
    <d v="2026-06-30T00:00:00"/>
    <n v="9852.57"/>
  </r>
  <r>
    <x v="928"/>
    <d v="2025-12-06T00:00:00"/>
    <x v="11"/>
    <x v="2"/>
    <x v="2"/>
    <x v="3"/>
    <x v="2"/>
    <x v="2"/>
    <x v="13"/>
    <n v="470.65"/>
    <n v="470.65"/>
    <x v="1"/>
    <x v="5"/>
    <d v="2026-01-06T00:00:00"/>
    <n v="470.65"/>
  </r>
  <r>
    <x v="929"/>
    <d v="2025-12-07T00:00:00"/>
    <x v="11"/>
    <x v="1"/>
    <x v="1"/>
    <x v="3"/>
    <x v="1"/>
    <x v="0"/>
    <x v="11"/>
    <n v="828.56"/>
    <n v="4142.8"/>
    <x v="1"/>
    <x v="3"/>
    <d v="2026-04-27T00:00:00"/>
    <n v="4142.8"/>
  </r>
  <r>
    <x v="930"/>
    <d v="2025-12-07T00:00:00"/>
    <x v="11"/>
    <x v="2"/>
    <x v="2"/>
    <x v="1"/>
    <x v="2"/>
    <x v="2"/>
    <x v="12"/>
    <n v="528.86"/>
    <n v="3702.02"/>
    <x v="0"/>
    <x v="0"/>
    <d v="2026-06-30T00:00:00"/>
    <n v="3702.02"/>
  </r>
  <r>
    <x v="931"/>
    <d v="2025-12-08T00:00:00"/>
    <x v="11"/>
    <x v="2"/>
    <x v="3"/>
    <x v="0"/>
    <x v="0"/>
    <x v="2"/>
    <x v="12"/>
    <n v="492.09"/>
    <n v="3444.63"/>
    <x v="0"/>
    <x v="0"/>
    <d v="2026-06-30T00:00:00"/>
    <n v="3444.63"/>
  </r>
  <r>
    <x v="932"/>
    <d v="2025-12-08T00:00:00"/>
    <x v="11"/>
    <x v="0"/>
    <x v="1"/>
    <x v="0"/>
    <x v="0"/>
    <x v="3"/>
    <x v="16"/>
    <n v="1560.29"/>
    <n v="4680.87"/>
    <x v="1"/>
    <x v="2"/>
    <d v="2026-03-09T00:00:00"/>
    <n v="4680.87"/>
  </r>
  <r>
    <x v="933"/>
    <d v="2025-12-08T00:00:00"/>
    <x v="11"/>
    <x v="1"/>
    <x v="2"/>
    <x v="2"/>
    <x v="0"/>
    <x v="2"/>
    <x v="12"/>
    <n v="848.56"/>
    <n v="5939.92"/>
    <x v="0"/>
    <x v="0"/>
    <d v="2026-06-30T00:00:00"/>
    <n v="5939.92"/>
  </r>
  <r>
    <x v="934"/>
    <d v="2025-12-08T00:00:00"/>
    <x v="11"/>
    <x v="2"/>
    <x v="0"/>
    <x v="4"/>
    <x v="2"/>
    <x v="1"/>
    <x v="12"/>
    <n v="478.27"/>
    <n v="3347.89"/>
    <x v="0"/>
    <x v="0"/>
    <d v="2026-06-30T00:00:00"/>
    <n v="3347.89"/>
  </r>
  <r>
    <x v="935"/>
    <d v="2025-12-08T00:00:00"/>
    <x v="11"/>
    <x v="1"/>
    <x v="2"/>
    <x v="2"/>
    <x v="1"/>
    <x v="2"/>
    <x v="12"/>
    <n v="849.29"/>
    <n v="5945.03"/>
    <x v="0"/>
    <x v="0"/>
    <d v="2026-06-30T00:00:00"/>
    <n v="5945.03"/>
  </r>
  <r>
    <x v="936"/>
    <d v="2025-12-08T00:00:00"/>
    <x v="11"/>
    <x v="1"/>
    <x v="2"/>
    <x v="0"/>
    <x v="2"/>
    <x v="1"/>
    <x v="12"/>
    <n v="873.29"/>
    <n v="6113.03"/>
    <x v="0"/>
    <x v="0"/>
    <d v="2026-06-30T00:00:00"/>
    <n v="6113.03"/>
  </r>
  <r>
    <x v="937"/>
    <d v="2025-12-09T00:00:00"/>
    <x v="11"/>
    <x v="1"/>
    <x v="2"/>
    <x v="1"/>
    <x v="0"/>
    <x v="2"/>
    <x v="3"/>
    <n v="872.16"/>
    <n v="3488.64"/>
    <x v="1"/>
    <x v="4"/>
    <d v="2026-04-07T00:00:00"/>
    <n v="3488.64"/>
  </r>
  <r>
    <x v="938"/>
    <d v="2025-12-09T00:00:00"/>
    <x v="11"/>
    <x v="2"/>
    <x v="0"/>
    <x v="3"/>
    <x v="0"/>
    <x v="3"/>
    <x v="12"/>
    <n v="535.67999999999995"/>
    <n v="3749.76"/>
    <x v="0"/>
    <x v="0"/>
    <d v="2026-06-30T00:00:00"/>
    <n v="3749.76"/>
  </r>
  <r>
    <x v="939"/>
    <d v="2025-12-09T00:00:00"/>
    <x v="11"/>
    <x v="1"/>
    <x v="0"/>
    <x v="0"/>
    <x v="1"/>
    <x v="3"/>
    <x v="12"/>
    <n v="941.71"/>
    <n v="6591.97"/>
    <x v="0"/>
    <x v="0"/>
    <d v="2026-06-30T00:00:00"/>
    <n v="6591.97"/>
  </r>
  <r>
    <x v="940"/>
    <d v="2025-12-10T00:00:00"/>
    <x v="11"/>
    <x v="0"/>
    <x v="3"/>
    <x v="0"/>
    <x v="2"/>
    <x v="0"/>
    <x v="12"/>
    <n v="1465.58"/>
    <n v="10259.06"/>
    <x v="0"/>
    <x v="0"/>
    <d v="2026-06-30T00:00:00"/>
    <n v="10259.06"/>
  </r>
  <r>
    <x v="941"/>
    <d v="2025-12-10T00:00:00"/>
    <x v="11"/>
    <x v="1"/>
    <x v="3"/>
    <x v="2"/>
    <x v="0"/>
    <x v="1"/>
    <x v="12"/>
    <n v="934.64"/>
    <n v="6542.48"/>
    <x v="0"/>
    <x v="0"/>
    <d v="2026-06-30T00:00:00"/>
    <n v="6542.48"/>
  </r>
  <r>
    <x v="942"/>
    <d v="2025-12-12T00:00:00"/>
    <x v="11"/>
    <x v="0"/>
    <x v="1"/>
    <x v="0"/>
    <x v="0"/>
    <x v="1"/>
    <x v="12"/>
    <n v="1494.79"/>
    <n v="10463.530000000001"/>
    <x v="0"/>
    <x v="0"/>
    <d v="2026-06-30T00:00:00"/>
    <n v="10463.530000000001"/>
  </r>
  <r>
    <x v="943"/>
    <d v="2025-12-12T00:00:00"/>
    <x v="11"/>
    <x v="1"/>
    <x v="2"/>
    <x v="1"/>
    <x v="2"/>
    <x v="2"/>
    <x v="12"/>
    <n v="932.03"/>
    <n v="6524.21"/>
    <x v="0"/>
    <x v="0"/>
    <d v="2026-06-30T00:00:00"/>
    <n v="6524.21"/>
  </r>
  <r>
    <x v="944"/>
    <d v="2025-12-12T00:00:00"/>
    <x v="11"/>
    <x v="0"/>
    <x v="2"/>
    <x v="0"/>
    <x v="0"/>
    <x v="2"/>
    <x v="12"/>
    <n v="1584.5"/>
    <n v="11091.5"/>
    <x v="0"/>
    <x v="0"/>
    <d v="2026-06-30T00:00:00"/>
    <n v="11091.5"/>
  </r>
  <r>
    <x v="945"/>
    <d v="2025-12-12T00:00:00"/>
    <x v="11"/>
    <x v="1"/>
    <x v="0"/>
    <x v="0"/>
    <x v="2"/>
    <x v="2"/>
    <x v="3"/>
    <n v="813.15"/>
    <n v="3252.6"/>
    <x v="1"/>
    <x v="1"/>
    <d v="2026-04-18T00:00:00"/>
    <n v="3252.6"/>
  </r>
  <r>
    <x v="946"/>
    <d v="2025-12-13T00:00:00"/>
    <x v="11"/>
    <x v="1"/>
    <x v="1"/>
    <x v="3"/>
    <x v="2"/>
    <x v="0"/>
    <x v="12"/>
    <n v="909.06"/>
    <n v="6363.42"/>
    <x v="0"/>
    <x v="0"/>
    <d v="2026-06-30T00:00:00"/>
    <n v="6363.42"/>
  </r>
  <r>
    <x v="947"/>
    <d v="2025-12-13T00:00:00"/>
    <x v="11"/>
    <x v="1"/>
    <x v="0"/>
    <x v="1"/>
    <x v="0"/>
    <x v="1"/>
    <x v="16"/>
    <n v="889.12"/>
    <n v="2667.36"/>
    <x v="1"/>
    <x v="4"/>
    <d v="2026-03-27T00:00:00"/>
    <n v="2667.36"/>
  </r>
  <r>
    <x v="948"/>
    <d v="2025-12-13T00:00:00"/>
    <x v="11"/>
    <x v="0"/>
    <x v="3"/>
    <x v="2"/>
    <x v="2"/>
    <x v="0"/>
    <x v="12"/>
    <n v="1624.49"/>
    <n v="11371.43"/>
    <x v="0"/>
    <x v="0"/>
    <d v="2026-06-30T00:00:00"/>
    <n v="11371.43"/>
  </r>
  <r>
    <x v="949"/>
    <d v="2025-12-13T00:00:00"/>
    <x v="11"/>
    <x v="2"/>
    <x v="2"/>
    <x v="2"/>
    <x v="2"/>
    <x v="0"/>
    <x v="12"/>
    <n v="454.52"/>
    <n v="3181.64"/>
    <x v="0"/>
    <x v="0"/>
    <d v="2026-06-30T00:00:00"/>
    <n v="3181.64"/>
  </r>
  <r>
    <x v="950"/>
    <d v="2025-12-14T00:00:00"/>
    <x v="11"/>
    <x v="1"/>
    <x v="0"/>
    <x v="2"/>
    <x v="2"/>
    <x v="0"/>
    <x v="12"/>
    <n v="844.78"/>
    <n v="5913.46"/>
    <x v="0"/>
    <x v="0"/>
    <d v="2026-06-30T00:00:00"/>
    <n v="5913.46"/>
  </r>
  <r>
    <x v="951"/>
    <d v="2025-12-14T00:00:00"/>
    <x v="11"/>
    <x v="1"/>
    <x v="2"/>
    <x v="4"/>
    <x v="1"/>
    <x v="1"/>
    <x v="12"/>
    <n v="985.48"/>
    <n v="6898.36"/>
    <x v="0"/>
    <x v="0"/>
    <d v="2026-06-30T00:00:00"/>
    <n v="6898.36"/>
  </r>
  <r>
    <x v="952"/>
    <d v="2025-12-14T00:00:00"/>
    <x v="11"/>
    <x v="2"/>
    <x v="1"/>
    <x v="3"/>
    <x v="2"/>
    <x v="1"/>
    <x v="12"/>
    <n v="521.66999999999996"/>
    <n v="3651.69"/>
    <x v="0"/>
    <x v="0"/>
    <d v="2026-06-30T00:00:00"/>
    <n v="3651.69"/>
  </r>
  <r>
    <x v="953"/>
    <d v="2025-12-15T00:00:00"/>
    <x v="11"/>
    <x v="0"/>
    <x v="3"/>
    <x v="3"/>
    <x v="2"/>
    <x v="1"/>
    <x v="14"/>
    <n v="1549.2"/>
    <n v="9295.2000000000007"/>
    <x v="0"/>
    <x v="0"/>
    <d v="2026-06-30T00:00:00"/>
    <n v="9295.2000000000007"/>
  </r>
  <r>
    <x v="954"/>
    <d v="2025-12-15T00:00:00"/>
    <x v="11"/>
    <x v="2"/>
    <x v="1"/>
    <x v="3"/>
    <x v="2"/>
    <x v="0"/>
    <x v="14"/>
    <n v="462.32"/>
    <n v="2773.92"/>
    <x v="0"/>
    <x v="0"/>
    <d v="2026-06-30T00:00:00"/>
    <n v="2773.92"/>
  </r>
  <r>
    <x v="955"/>
    <d v="2025-12-16T00:00:00"/>
    <x v="11"/>
    <x v="0"/>
    <x v="3"/>
    <x v="2"/>
    <x v="0"/>
    <x v="2"/>
    <x v="14"/>
    <n v="1507.1"/>
    <n v="9042.6"/>
    <x v="0"/>
    <x v="0"/>
    <d v="2026-06-30T00:00:00"/>
    <n v="9042.6"/>
  </r>
  <r>
    <x v="956"/>
    <d v="2025-12-16T00:00:00"/>
    <x v="11"/>
    <x v="2"/>
    <x v="1"/>
    <x v="1"/>
    <x v="2"/>
    <x v="1"/>
    <x v="14"/>
    <n v="515.02"/>
    <n v="3090.12"/>
    <x v="0"/>
    <x v="0"/>
    <d v="2026-06-30T00:00:00"/>
    <n v="3090.12"/>
  </r>
  <r>
    <x v="957"/>
    <d v="2025-12-17T00:00:00"/>
    <x v="11"/>
    <x v="1"/>
    <x v="0"/>
    <x v="3"/>
    <x v="2"/>
    <x v="3"/>
    <x v="14"/>
    <n v="974.23"/>
    <n v="5845.38"/>
    <x v="0"/>
    <x v="0"/>
    <d v="2026-06-30T00:00:00"/>
    <n v="5845.38"/>
  </r>
  <r>
    <x v="958"/>
    <d v="2025-12-17T00:00:00"/>
    <x v="11"/>
    <x v="0"/>
    <x v="0"/>
    <x v="3"/>
    <x v="0"/>
    <x v="0"/>
    <x v="14"/>
    <n v="1573.79"/>
    <n v="9442.74"/>
    <x v="0"/>
    <x v="0"/>
    <d v="2026-06-30T00:00:00"/>
    <n v="9442.74"/>
  </r>
  <r>
    <x v="959"/>
    <d v="2025-12-17T00:00:00"/>
    <x v="11"/>
    <x v="1"/>
    <x v="3"/>
    <x v="2"/>
    <x v="2"/>
    <x v="0"/>
    <x v="14"/>
    <n v="871.5"/>
    <n v="5229"/>
    <x v="0"/>
    <x v="0"/>
    <d v="2026-06-30T00:00:00"/>
    <n v="5229"/>
  </r>
  <r>
    <x v="960"/>
    <d v="2025-12-17T00:00:00"/>
    <x v="11"/>
    <x v="2"/>
    <x v="2"/>
    <x v="4"/>
    <x v="2"/>
    <x v="2"/>
    <x v="14"/>
    <n v="532.26"/>
    <n v="3193.56"/>
    <x v="0"/>
    <x v="0"/>
    <d v="2026-06-30T00:00:00"/>
    <n v="3193.56"/>
  </r>
  <r>
    <x v="961"/>
    <d v="2025-12-17T00:00:00"/>
    <x v="11"/>
    <x v="2"/>
    <x v="2"/>
    <x v="1"/>
    <x v="2"/>
    <x v="0"/>
    <x v="3"/>
    <n v="461.12"/>
    <n v="1844.48"/>
    <x v="1"/>
    <x v="3"/>
    <d v="2026-04-19T00:00:00"/>
    <n v="1844.48"/>
  </r>
  <r>
    <x v="962"/>
    <d v="2025-12-17T00:00:00"/>
    <x v="11"/>
    <x v="2"/>
    <x v="0"/>
    <x v="0"/>
    <x v="0"/>
    <x v="0"/>
    <x v="14"/>
    <n v="530.08000000000004"/>
    <n v="3180.48"/>
    <x v="0"/>
    <x v="0"/>
    <d v="2026-06-30T00:00:00"/>
    <n v="3180.48"/>
  </r>
  <r>
    <x v="963"/>
    <d v="2025-12-18T00:00:00"/>
    <x v="11"/>
    <x v="2"/>
    <x v="0"/>
    <x v="1"/>
    <x v="0"/>
    <x v="0"/>
    <x v="14"/>
    <n v="486.43"/>
    <n v="2918.58"/>
    <x v="0"/>
    <x v="0"/>
    <d v="2026-06-30T00:00:00"/>
    <n v="2918.58"/>
  </r>
  <r>
    <x v="964"/>
    <d v="2025-12-18T00:00:00"/>
    <x v="11"/>
    <x v="2"/>
    <x v="1"/>
    <x v="2"/>
    <x v="0"/>
    <x v="2"/>
    <x v="14"/>
    <n v="525.27"/>
    <n v="3151.62"/>
    <x v="0"/>
    <x v="0"/>
    <d v="2026-06-30T00:00:00"/>
    <n v="3151.62"/>
  </r>
  <r>
    <x v="965"/>
    <d v="2025-12-18T00:00:00"/>
    <x v="11"/>
    <x v="2"/>
    <x v="3"/>
    <x v="1"/>
    <x v="0"/>
    <x v="1"/>
    <x v="14"/>
    <n v="505.9"/>
    <n v="3035.4"/>
    <x v="0"/>
    <x v="0"/>
    <d v="2026-06-30T00:00:00"/>
    <n v="3035.4"/>
  </r>
  <r>
    <x v="966"/>
    <d v="2025-12-18T00:00:00"/>
    <x v="11"/>
    <x v="2"/>
    <x v="0"/>
    <x v="3"/>
    <x v="2"/>
    <x v="1"/>
    <x v="14"/>
    <n v="454.46"/>
    <n v="2726.76"/>
    <x v="0"/>
    <x v="0"/>
    <d v="2026-06-30T00:00:00"/>
    <n v="2726.76"/>
  </r>
  <r>
    <x v="967"/>
    <d v="2025-12-18T00:00:00"/>
    <x v="11"/>
    <x v="1"/>
    <x v="1"/>
    <x v="0"/>
    <x v="0"/>
    <x v="0"/>
    <x v="9"/>
    <n v="966.24"/>
    <n v="1932.48"/>
    <x v="1"/>
    <x v="1"/>
    <d v="2026-02-09T00:00:00"/>
    <n v="1932.48"/>
  </r>
  <r>
    <x v="968"/>
    <d v="2025-12-19T00:00:00"/>
    <x v="11"/>
    <x v="0"/>
    <x v="1"/>
    <x v="1"/>
    <x v="1"/>
    <x v="2"/>
    <x v="14"/>
    <n v="1459.34"/>
    <n v="8756.0400000000009"/>
    <x v="0"/>
    <x v="0"/>
    <d v="2026-06-30T00:00:00"/>
    <n v="8756.0400000000009"/>
  </r>
  <r>
    <x v="969"/>
    <d v="2025-12-19T00:00:00"/>
    <x v="11"/>
    <x v="1"/>
    <x v="1"/>
    <x v="0"/>
    <x v="2"/>
    <x v="0"/>
    <x v="14"/>
    <n v="852.37"/>
    <n v="5114.22"/>
    <x v="0"/>
    <x v="0"/>
    <d v="2026-06-30T00:00:00"/>
    <n v="5114.22"/>
  </r>
  <r>
    <x v="970"/>
    <d v="2025-12-20T00:00:00"/>
    <x v="11"/>
    <x v="2"/>
    <x v="0"/>
    <x v="3"/>
    <x v="2"/>
    <x v="0"/>
    <x v="16"/>
    <n v="453.43"/>
    <n v="1360.29"/>
    <x v="1"/>
    <x v="5"/>
    <d v="2026-03-22T00:00:00"/>
    <n v="1360.29"/>
  </r>
  <r>
    <x v="971"/>
    <d v="2025-12-20T00:00:00"/>
    <x v="11"/>
    <x v="2"/>
    <x v="0"/>
    <x v="3"/>
    <x v="2"/>
    <x v="3"/>
    <x v="14"/>
    <n v="529.39"/>
    <n v="3176.34"/>
    <x v="0"/>
    <x v="0"/>
    <d v="2026-06-30T00:00:00"/>
    <n v="3176.34"/>
  </r>
  <r>
    <x v="972"/>
    <d v="2025-12-20T00:00:00"/>
    <x v="11"/>
    <x v="1"/>
    <x v="2"/>
    <x v="1"/>
    <x v="0"/>
    <x v="2"/>
    <x v="14"/>
    <n v="960.01"/>
    <n v="5760.06"/>
    <x v="0"/>
    <x v="0"/>
    <d v="2026-06-30T00:00:00"/>
    <n v="5760.06"/>
  </r>
  <r>
    <x v="973"/>
    <d v="2025-12-20T00:00:00"/>
    <x v="11"/>
    <x v="1"/>
    <x v="3"/>
    <x v="0"/>
    <x v="2"/>
    <x v="1"/>
    <x v="14"/>
    <n v="840.51"/>
    <n v="5043.0600000000004"/>
    <x v="0"/>
    <x v="0"/>
    <d v="2026-06-30T00:00:00"/>
    <n v="5043.0600000000004"/>
  </r>
  <r>
    <x v="974"/>
    <d v="2025-12-20T00:00:00"/>
    <x v="11"/>
    <x v="2"/>
    <x v="0"/>
    <x v="1"/>
    <x v="2"/>
    <x v="1"/>
    <x v="14"/>
    <n v="528.73"/>
    <n v="3172.38"/>
    <x v="0"/>
    <x v="0"/>
    <d v="2026-06-30T00:00:00"/>
    <n v="3172.38"/>
  </r>
  <r>
    <x v="975"/>
    <d v="2025-12-20T00:00:00"/>
    <x v="11"/>
    <x v="1"/>
    <x v="0"/>
    <x v="1"/>
    <x v="2"/>
    <x v="2"/>
    <x v="14"/>
    <n v="871.71"/>
    <n v="5230.26"/>
    <x v="0"/>
    <x v="0"/>
    <d v="2026-06-30T00:00:00"/>
    <n v="5230.26"/>
  </r>
  <r>
    <x v="976"/>
    <d v="2025-12-21T00:00:00"/>
    <x v="11"/>
    <x v="1"/>
    <x v="1"/>
    <x v="4"/>
    <x v="2"/>
    <x v="3"/>
    <x v="14"/>
    <n v="952.55"/>
    <n v="5715.3"/>
    <x v="0"/>
    <x v="0"/>
    <d v="2026-06-30T00:00:00"/>
    <n v="5715.3"/>
  </r>
  <r>
    <x v="977"/>
    <d v="2025-12-21T00:00:00"/>
    <x v="11"/>
    <x v="1"/>
    <x v="2"/>
    <x v="1"/>
    <x v="2"/>
    <x v="0"/>
    <x v="14"/>
    <n v="861.25"/>
    <n v="5167.5"/>
    <x v="0"/>
    <x v="0"/>
    <d v="2026-06-30T00:00:00"/>
    <n v="5167.5"/>
  </r>
  <r>
    <x v="978"/>
    <d v="2025-12-21T00:00:00"/>
    <x v="11"/>
    <x v="0"/>
    <x v="1"/>
    <x v="2"/>
    <x v="2"/>
    <x v="0"/>
    <x v="9"/>
    <n v="1502.13"/>
    <n v="3004.26"/>
    <x v="1"/>
    <x v="4"/>
    <d v="2026-03-03T00:00:00"/>
    <n v="3004.26"/>
  </r>
  <r>
    <x v="979"/>
    <d v="2025-12-22T00:00:00"/>
    <x v="11"/>
    <x v="0"/>
    <x v="0"/>
    <x v="4"/>
    <x v="0"/>
    <x v="0"/>
    <x v="14"/>
    <n v="1458.89"/>
    <n v="8753.34"/>
    <x v="0"/>
    <x v="0"/>
    <d v="2026-06-30T00:00:00"/>
    <n v="8753.34"/>
  </r>
  <r>
    <x v="980"/>
    <d v="2025-12-22T00:00:00"/>
    <x v="11"/>
    <x v="2"/>
    <x v="1"/>
    <x v="4"/>
    <x v="2"/>
    <x v="1"/>
    <x v="14"/>
    <n v="518.24"/>
    <n v="3109.44"/>
    <x v="0"/>
    <x v="0"/>
    <d v="2026-06-30T00:00:00"/>
    <n v="3109.44"/>
  </r>
  <r>
    <x v="981"/>
    <d v="2025-12-22T00:00:00"/>
    <x v="11"/>
    <x v="0"/>
    <x v="1"/>
    <x v="0"/>
    <x v="2"/>
    <x v="1"/>
    <x v="14"/>
    <n v="1555.99"/>
    <n v="9335.94"/>
    <x v="0"/>
    <x v="0"/>
    <d v="2026-06-30T00:00:00"/>
    <n v="9335.94"/>
  </r>
  <r>
    <x v="982"/>
    <d v="2025-12-23T00:00:00"/>
    <x v="11"/>
    <x v="0"/>
    <x v="1"/>
    <x v="1"/>
    <x v="0"/>
    <x v="2"/>
    <x v="16"/>
    <n v="1510.15"/>
    <n v="4530.45"/>
    <x v="1"/>
    <x v="5"/>
    <d v="2026-03-22T00:00:00"/>
    <n v="4530.45"/>
  </r>
  <r>
    <x v="983"/>
    <d v="2025-12-24T00:00:00"/>
    <x v="11"/>
    <x v="1"/>
    <x v="1"/>
    <x v="2"/>
    <x v="2"/>
    <x v="3"/>
    <x v="11"/>
    <n v="948"/>
    <n v="4740"/>
    <x v="1"/>
    <x v="1"/>
    <d v="2026-05-11T00:00:00"/>
    <n v="4740"/>
  </r>
  <r>
    <x v="984"/>
    <d v="2025-12-24T00:00:00"/>
    <x v="11"/>
    <x v="0"/>
    <x v="2"/>
    <x v="2"/>
    <x v="2"/>
    <x v="0"/>
    <x v="14"/>
    <n v="1632.95"/>
    <n v="9797.7000000000007"/>
    <x v="0"/>
    <x v="0"/>
    <d v="2026-06-30T00:00:00"/>
    <n v="9797.7000000000007"/>
  </r>
  <r>
    <x v="985"/>
    <d v="2025-12-24T00:00:00"/>
    <x v="11"/>
    <x v="2"/>
    <x v="1"/>
    <x v="2"/>
    <x v="0"/>
    <x v="2"/>
    <x v="14"/>
    <n v="462.41"/>
    <n v="2774.46"/>
    <x v="0"/>
    <x v="0"/>
    <d v="2026-06-30T00:00:00"/>
    <n v="2774.46"/>
  </r>
  <r>
    <x v="986"/>
    <d v="2025-12-24T00:00:00"/>
    <x v="11"/>
    <x v="2"/>
    <x v="1"/>
    <x v="4"/>
    <x v="2"/>
    <x v="0"/>
    <x v="14"/>
    <n v="509.68"/>
    <n v="3058.08"/>
    <x v="0"/>
    <x v="0"/>
    <d v="2026-06-30T00:00:00"/>
    <n v="3058.08"/>
  </r>
  <r>
    <x v="987"/>
    <d v="2025-12-25T00:00:00"/>
    <x v="11"/>
    <x v="1"/>
    <x v="0"/>
    <x v="0"/>
    <x v="2"/>
    <x v="0"/>
    <x v="16"/>
    <n v="879.48"/>
    <n v="2638.44"/>
    <x v="1"/>
    <x v="3"/>
    <d v="2026-03-16T00:00:00"/>
    <n v="2638.44"/>
  </r>
  <r>
    <x v="988"/>
    <d v="2025-12-26T00:00:00"/>
    <x v="11"/>
    <x v="2"/>
    <x v="1"/>
    <x v="0"/>
    <x v="0"/>
    <x v="1"/>
    <x v="16"/>
    <n v="451.86"/>
    <n v="1355.58"/>
    <x v="1"/>
    <x v="2"/>
    <d v="2026-03-13T00:00:00"/>
    <n v="1355.58"/>
  </r>
  <r>
    <x v="989"/>
    <d v="2025-12-27T00:00:00"/>
    <x v="11"/>
    <x v="1"/>
    <x v="2"/>
    <x v="0"/>
    <x v="2"/>
    <x v="3"/>
    <x v="14"/>
    <n v="848.89"/>
    <n v="5093.34"/>
    <x v="0"/>
    <x v="0"/>
    <d v="2026-06-30T00:00:00"/>
    <n v="5093.34"/>
  </r>
  <r>
    <x v="990"/>
    <d v="2025-12-28T00:00:00"/>
    <x v="11"/>
    <x v="1"/>
    <x v="1"/>
    <x v="1"/>
    <x v="0"/>
    <x v="0"/>
    <x v="14"/>
    <n v="978.35"/>
    <n v="5870.1"/>
    <x v="0"/>
    <x v="0"/>
    <d v="2026-06-30T00:00:00"/>
    <n v="5870.1"/>
  </r>
  <r>
    <x v="991"/>
    <d v="2025-12-28T00:00:00"/>
    <x v="11"/>
    <x v="0"/>
    <x v="1"/>
    <x v="2"/>
    <x v="2"/>
    <x v="2"/>
    <x v="14"/>
    <n v="1490"/>
    <n v="8940"/>
    <x v="0"/>
    <x v="0"/>
    <d v="2026-06-30T00:00:00"/>
    <n v="8940"/>
  </r>
  <r>
    <x v="992"/>
    <d v="2025-12-29T00:00:00"/>
    <x v="11"/>
    <x v="1"/>
    <x v="1"/>
    <x v="1"/>
    <x v="2"/>
    <x v="0"/>
    <x v="14"/>
    <n v="921.06"/>
    <n v="5526.36"/>
    <x v="0"/>
    <x v="0"/>
    <d v="2026-06-30T00:00:00"/>
    <n v="5526.36"/>
  </r>
  <r>
    <x v="993"/>
    <d v="2025-12-29T00:00:00"/>
    <x v="11"/>
    <x v="1"/>
    <x v="3"/>
    <x v="4"/>
    <x v="2"/>
    <x v="3"/>
    <x v="14"/>
    <n v="956.68"/>
    <n v="5740.08"/>
    <x v="0"/>
    <x v="0"/>
    <d v="2026-06-30T00:00:00"/>
    <n v="5740.08"/>
  </r>
  <r>
    <x v="994"/>
    <d v="2025-12-30T00:00:00"/>
    <x v="11"/>
    <x v="2"/>
    <x v="1"/>
    <x v="3"/>
    <x v="2"/>
    <x v="1"/>
    <x v="14"/>
    <n v="490.87"/>
    <n v="2945.22"/>
    <x v="0"/>
    <x v="0"/>
    <d v="2026-06-30T00:00:00"/>
    <n v="2945.22"/>
  </r>
  <r>
    <x v="995"/>
    <d v="2025-12-30T00:00:00"/>
    <x v="11"/>
    <x v="0"/>
    <x v="3"/>
    <x v="2"/>
    <x v="0"/>
    <x v="0"/>
    <x v="14"/>
    <n v="1561.78"/>
    <n v="9370.68"/>
    <x v="0"/>
    <x v="0"/>
    <d v="2026-06-30T00:00:00"/>
    <n v="9370.68"/>
  </r>
  <r>
    <x v="996"/>
    <d v="2025-12-30T00:00:00"/>
    <x v="11"/>
    <x v="1"/>
    <x v="1"/>
    <x v="1"/>
    <x v="2"/>
    <x v="0"/>
    <x v="16"/>
    <n v="945.76"/>
    <n v="2837.28"/>
    <x v="1"/>
    <x v="5"/>
    <d v="2026-03-23T00:00:00"/>
    <n v="2837.28"/>
  </r>
  <r>
    <x v="997"/>
    <d v="2025-12-30T00:00:00"/>
    <x v="11"/>
    <x v="1"/>
    <x v="1"/>
    <x v="1"/>
    <x v="2"/>
    <x v="2"/>
    <x v="14"/>
    <n v="960.09"/>
    <n v="5760.54"/>
    <x v="0"/>
    <x v="0"/>
    <d v="2026-06-30T00:00:00"/>
    <n v="5760.54"/>
  </r>
  <r>
    <x v="998"/>
    <d v="2025-12-31T00:00:00"/>
    <x v="11"/>
    <x v="0"/>
    <x v="3"/>
    <x v="1"/>
    <x v="2"/>
    <x v="0"/>
    <x v="14"/>
    <n v="1529.08"/>
    <n v="9174.48"/>
    <x v="0"/>
    <x v="0"/>
    <d v="2026-06-30T00:00:00"/>
    <n v="9174.48"/>
  </r>
  <r>
    <x v="999"/>
    <d v="2025-12-31T00:00:00"/>
    <x v="11"/>
    <x v="1"/>
    <x v="2"/>
    <x v="1"/>
    <x v="2"/>
    <x v="2"/>
    <x v="14"/>
    <n v="958.92"/>
    <n v="5753.52"/>
    <x v="0"/>
    <x v="0"/>
    <d v="2026-06-30T00:00:00"/>
    <n v="5753.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A9718-0CE5-40E7-987F-181DC1EE71F2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G117:J123" firstHeaderRow="1" firstDataRow="2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D158D-F3F8-45CB-8E9B-2C54980A760E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17:B120" firstHeaderRow="1" firstDataRow="1" firstDataCol="1"/>
  <pivotFields count="15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dataField="1"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Sum of Customer Lifetime Value" fld="14" baseField="0" baseItem="0"/>
  </dataFields>
  <chartFormats count="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D741C9-88FE-4CEC-A29B-DE64DBD0BC4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78:D92" firstHeaderRow="1" firstDataRow="2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formats count="10">
    <format dxfId="14">
      <pivotArea type="all" dataOnly="0" outline="0" fieldPosition="0"/>
    </format>
    <format dxfId="13">
      <pivotArea outline="0" collapsedLevelsAreSubtotals="1" fieldPosition="0"/>
    </format>
    <format dxfId="12">
      <pivotArea type="origin" dataOnly="0" labelOnly="1" outline="0" fieldPosition="0"/>
    </format>
    <format dxfId="11">
      <pivotArea field="11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1" count="0"/>
        </references>
      </pivotArea>
    </format>
    <format dxfId="5">
      <pivotArea dataOnly="0" labelOnly="1" grandCol="1" outline="0" fieldPosition="0"/>
    </format>
  </format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C63FB3-AC9B-4036-B739-FD1DFAB9495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I27:L32" firstHeaderRow="1" firstDataRow="2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16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116C11-1D66-4BE0-8F5B-B43347B1904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B4" firstHeaderRow="1" firstDataRow="1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11"/>
  </rowFields>
  <rowItems count="3">
    <i>
      <x/>
    </i>
    <i>
      <x v="1"/>
    </i>
    <i t="grand">
      <x/>
    </i>
  </rowItems>
  <colItems count="1">
    <i/>
  </colItems>
  <dataFields count="1">
    <dataField name="Count of Customer ID" fld="0" subtotal="count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11" type="button" dataOnly="0" labelOnly="1" outline="0" axis="axisRow" fieldPosition="0"/>
    </format>
    <format dxfId="17">
      <pivotArea dataOnly="0" labelOnly="1" fieldPosition="0">
        <references count="1">
          <reference field="11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9D6F8-B82A-4608-BF47-45230C11D14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H51:I57" firstHeaderRow="1" firstDataRow="1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0"/>
        <item x="5"/>
        <item x="2"/>
        <item x="1"/>
        <item x="4"/>
        <item x="3"/>
        <item t="default"/>
      </items>
    </pivotField>
    <pivotField numFmtId="164" showAll="0"/>
    <pivotField showAll="0"/>
  </pivotFields>
  <rowFields count="1">
    <field x="12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Customer ID" fld="0" subtotal="count" baseField="0" baseItem="0"/>
  </dataField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C4CE9-CA02-4A23-9B2B-4527817E238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G77:J97" firstHeaderRow="1" firstDataRow="2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3"/>
        <item x="9"/>
        <item x="16"/>
        <item x="3"/>
        <item x="11"/>
        <item x="14"/>
        <item x="12"/>
        <item x="4"/>
        <item x="5"/>
        <item x="8"/>
        <item x="1"/>
        <item x="15"/>
        <item x="17"/>
        <item x="6"/>
        <item x="10"/>
        <item x="7"/>
        <item x="2"/>
        <item x="0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8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formats count="10">
    <format dxfId="30">
      <pivotArea type="all" dataOnly="0" outline="0" fieldPosition="0"/>
    </format>
    <format dxfId="29">
      <pivotArea outline="0" collapsedLevelsAreSubtotals="1" fieldPosition="0"/>
    </format>
    <format dxfId="28">
      <pivotArea type="origin" dataOnly="0" labelOnly="1" outline="0" fieldPosition="0"/>
    </format>
    <format dxfId="27">
      <pivotArea field="11" type="button" dataOnly="0" labelOnly="1" outline="0" axis="axisCol" fieldPosition="0"/>
    </format>
    <format dxfId="26">
      <pivotArea type="topRight" dataOnly="0" labelOnly="1" outline="0" fieldPosition="0"/>
    </format>
    <format dxfId="25">
      <pivotArea field="8" type="button" dataOnly="0" labelOnly="1" outline="0" axis="axisRow" fieldPosition="0"/>
    </format>
    <format dxfId="24">
      <pivotArea dataOnly="0" labelOnly="1" fieldPosition="0">
        <references count="1">
          <reference field="8" count="0"/>
        </references>
      </pivotArea>
    </format>
    <format dxfId="23">
      <pivotArea dataOnly="0" labelOnly="1" grandRow="1" outline="0" fieldPosition="0"/>
    </format>
    <format dxfId="22">
      <pivotArea dataOnly="0" labelOnly="1" fieldPosition="0">
        <references count="1">
          <reference field="11" count="0"/>
        </references>
      </pivotArea>
    </format>
    <format dxfId="21">
      <pivotArea dataOnly="0" labelOnly="1" grandCol="1" outline="0" fieldPosition="0"/>
    </format>
  </format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0A0AA-9EB5-4AB3-A328-79BB6FC9AF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50:D57" firstHeaderRow="1" firstDataRow="2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AEC0C-D763-4C51-B6C3-529205BB3DC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5:D31" firstHeaderRow="1" firstDataRow="2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7D8740-2782-48E0-A665-AF818223AE9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I1:L6" firstHeaderRow="1" firstDataRow="2" firstDataCol="1"/>
  <pivotFields count="15">
    <pivotField dataField="1" showAll="0">
      <items count="1001">
        <item x="75"/>
        <item x="768"/>
        <item x="646"/>
        <item x="421"/>
        <item x="412"/>
        <item x="869"/>
        <item x="71"/>
        <item x="690"/>
        <item x="218"/>
        <item x="89"/>
        <item x="520"/>
        <item x="982"/>
        <item x="725"/>
        <item x="751"/>
        <item x="707"/>
        <item x="788"/>
        <item x="507"/>
        <item x="129"/>
        <item x="846"/>
        <item x="436"/>
        <item x="490"/>
        <item x="359"/>
        <item x="197"/>
        <item x="926"/>
        <item x="782"/>
        <item x="639"/>
        <item x="377"/>
        <item x="826"/>
        <item x="544"/>
        <item x="425"/>
        <item x="434"/>
        <item x="226"/>
        <item x="79"/>
        <item x="554"/>
        <item x="886"/>
        <item x="57"/>
        <item x="870"/>
        <item x="833"/>
        <item x="274"/>
        <item x="624"/>
        <item x="180"/>
        <item x="748"/>
        <item x="695"/>
        <item x="345"/>
        <item x="60"/>
        <item x="977"/>
        <item x="430"/>
        <item x="889"/>
        <item x="672"/>
        <item x="776"/>
        <item x="752"/>
        <item x="208"/>
        <item x="349"/>
        <item x="458"/>
        <item x="488"/>
        <item x="41"/>
        <item x="543"/>
        <item x="165"/>
        <item x="740"/>
        <item x="677"/>
        <item x="916"/>
        <item x="738"/>
        <item x="353"/>
        <item x="973"/>
        <item x="384"/>
        <item x="328"/>
        <item x="900"/>
        <item x="358"/>
        <item x="63"/>
        <item x="460"/>
        <item x="800"/>
        <item x="203"/>
        <item x="453"/>
        <item x="131"/>
        <item x="684"/>
        <item x="468"/>
        <item x="331"/>
        <item x="225"/>
        <item x="562"/>
        <item x="669"/>
        <item x="941"/>
        <item x="418"/>
        <item x="174"/>
        <item x="837"/>
        <item x="621"/>
        <item x="696"/>
        <item x="94"/>
        <item x="312"/>
        <item x="761"/>
        <item x="839"/>
        <item x="415"/>
        <item x="811"/>
        <item x="851"/>
        <item x="372"/>
        <item x="894"/>
        <item x="288"/>
        <item x="239"/>
        <item x="679"/>
        <item x="632"/>
        <item x="150"/>
        <item x="840"/>
        <item x="212"/>
        <item x="810"/>
        <item x="5"/>
        <item x="801"/>
        <item x="793"/>
        <item x="773"/>
        <item x="660"/>
        <item x="463"/>
        <item x="700"/>
        <item x="272"/>
        <item x="772"/>
        <item x="550"/>
        <item x="446"/>
        <item x="499"/>
        <item x="564"/>
        <item x="32"/>
        <item x="147"/>
        <item x="248"/>
        <item x="109"/>
        <item x="419"/>
        <item x="663"/>
        <item x="647"/>
        <item x="461"/>
        <item x="867"/>
        <item x="559"/>
        <item x="64"/>
        <item x="757"/>
        <item x="570"/>
        <item x="631"/>
        <item x="560"/>
        <item x="551"/>
        <item x="82"/>
        <item x="557"/>
        <item x="798"/>
        <item x="304"/>
        <item x="599"/>
        <item x="27"/>
        <item x="343"/>
        <item x="417"/>
        <item x="987"/>
        <item x="220"/>
        <item x="270"/>
        <item x="386"/>
        <item x="992"/>
        <item x="864"/>
        <item x="30"/>
        <item x="233"/>
        <item x="825"/>
        <item x="54"/>
        <item x="866"/>
        <item x="276"/>
        <item x="909"/>
        <item x="292"/>
        <item x="413"/>
        <item x="656"/>
        <item x="128"/>
        <item x="556"/>
        <item x="500"/>
        <item x="785"/>
        <item x="994"/>
        <item x="661"/>
        <item x="382"/>
        <item x="381"/>
        <item x="398"/>
        <item x="820"/>
        <item x="327"/>
        <item x="177"/>
        <item x="337"/>
        <item x="21"/>
        <item x="100"/>
        <item x="76"/>
        <item x="765"/>
        <item x="713"/>
        <item x="691"/>
        <item x="452"/>
        <item x="708"/>
        <item x="173"/>
        <item x="897"/>
        <item x="489"/>
        <item x="938"/>
        <item x="163"/>
        <item x="487"/>
        <item x="692"/>
        <item x="486"/>
        <item x="427"/>
        <item x="182"/>
        <item x="369"/>
        <item x="243"/>
        <item x="301"/>
        <item x="678"/>
        <item x="623"/>
        <item x="600"/>
        <item x="352"/>
        <item x="958"/>
        <item x="73"/>
        <item x="341"/>
        <item x="114"/>
        <item x="338"/>
        <item x="966"/>
        <item x="354"/>
        <item x="902"/>
        <item x="485"/>
        <item x="697"/>
        <item x="442"/>
        <item x="262"/>
        <item x="754"/>
        <item x="972"/>
        <item x="260"/>
        <item x="774"/>
        <item x="258"/>
        <item x="704"/>
        <item x="790"/>
        <item x="435"/>
        <item x="729"/>
        <item x="268"/>
        <item x="65"/>
        <item x="93"/>
        <item x="431"/>
        <item x="899"/>
        <item x="130"/>
        <item x="441"/>
        <item x="698"/>
        <item x="214"/>
        <item x="715"/>
        <item x="306"/>
        <item x="817"/>
        <item x="575"/>
        <item x="540"/>
        <item x="191"/>
        <item x="455"/>
        <item x="868"/>
        <item x="19"/>
        <item x="749"/>
        <item x="483"/>
        <item x="709"/>
        <item x="657"/>
        <item x="404"/>
        <item x="307"/>
        <item x="617"/>
        <item x="149"/>
        <item x="578"/>
        <item x="91"/>
        <item x="644"/>
        <item x="620"/>
        <item x="67"/>
        <item x="750"/>
        <item x="391"/>
        <item x="791"/>
        <item x="39"/>
        <item x="196"/>
        <item x="484"/>
        <item x="202"/>
        <item x="332"/>
        <item x="655"/>
        <item x="155"/>
        <item x="673"/>
        <item x="97"/>
        <item x="189"/>
        <item x="579"/>
        <item x="796"/>
        <item x="186"/>
        <item x="296"/>
        <item x="921"/>
        <item x="991"/>
        <item x="577"/>
        <item x="433"/>
        <item x="342"/>
        <item x="606"/>
        <item x="584"/>
        <item x="293"/>
        <item x="23"/>
        <item x="164"/>
        <item x="955"/>
        <item x="396"/>
        <item x="475"/>
        <item x="459"/>
        <item x="781"/>
        <item x="56"/>
        <item x="68"/>
        <item x="269"/>
        <item x="476"/>
        <item x="668"/>
        <item x="482"/>
        <item x="424"/>
        <item x="939"/>
        <item x="175"/>
        <item x="568"/>
        <item x="532"/>
        <item x="464"/>
        <item x="815"/>
        <item x="263"/>
        <item x="954"/>
        <item x="333"/>
        <item x="539"/>
        <item x="517"/>
        <item x="860"/>
        <item x="420"/>
        <item x="281"/>
        <item x="18"/>
        <item x="350"/>
        <item x="829"/>
        <item x="9"/>
        <item x="896"/>
        <item x="535"/>
        <item x="143"/>
        <item x="303"/>
        <item x="553"/>
        <item x="317"/>
        <item x="104"/>
        <item x="664"/>
        <item x="670"/>
        <item x="115"/>
        <item x="277"/>
        <item x="245"/>
        <item x="652"/>
        <item x="723"/>
        <item x="720"/>
        <item x="937"/>
        <item x="760"/>
        <item x="324"/>
        <item x="106"/>
        <item x="609"/>
        <item x="908"/>
        <item x="979"/>
        <item x="230"/>
        <item x="234"/>
        <item x="33"/>
        <item x="145"/>
        <item x="549"/>
        <item x="541"/>
        <item x="360"/>
        <item x="308"/>
        <item x="835"/>
        <item x="447"/>
        <item x="816"/>
        <item x="967"/>
        <item x="320"/>
        <item x="215"/>
        <item x="950"/>
        <item x="628"/>
        <item x="290"/>
        <item x="614"/>
        <item x="506"/>
        <item x="901"/>
        <item x="257"/>
        <item x="990"/>
        <item x="933"/>
        <item x="195"/>
        <item x="178"/>
        <item x="526"/>
        <item x="44"/>
        <item x="298"/>
        <item x="411"/>
        <item x="970"/>
        <item x="993"/>
        <item x="161"/>
        <item x="890"/>
        <item x="83"/>
        <item x="746"/>
        <item x="855"/>
        <item x="888"/>
        <item x="223"/>
        <item x="892"/>
        <item x="112"/>
        <item x="512"/>
        <item x="462"/>
        <item x="319"/>
        <item x="20"/>
        <item x="764"/>
        <item x="336"/>
        <item x="654"/>
        <item x="385"/>
        <item x="363"/>
        <item x="884"/>
        <item x="87"/>
        <item x="726"/>
        <item x="742"/>
        <item x="368"/>
        <item x="259"/>
        <item x="2"/>
        <item x="935"/>
        <item x="944"/>
        <item x="242"/>
        <item x="29"/>
        <item x="124"/>
        <item x="59"/>
        <item x="838"/>
        <item x="887"/>
        <item x="162"/>
        <item x="743"/>
        <item x="194"/>
        <item x="356"/>
        <item x="593"/>
        <item x="710"/>
        <item x="879"/>
        <item x="43"/>
        <item x="206"/>
        <item x="278"/>
        <item x="310"/>
        <item x="999"/>
        <item x="770"/>
        <item x="321"/>
        <item x="976"/>
        <item x="491"/>
        <item x="493"/>
        <item x="414"/>
        <item x="152"/>
        <item x="934"/>
        <item x="12"/>
        <item x="187"/>
        <item x="227"/>
        <item x="275"/>
        <item x="138"/>
        <item x="16"/>
        <item x="674"/>
        <item x="974"/>
        <item x="122"/>
        <item x="295"/>
        <item x="497"/>
        <item x="924"/>
        <item x="687"/>
        <item x="758"/>
        <item x="576"/>
        <item x="394"/>
        <item x="210"/>
        <item x="874"/>
        <item x="813"/>
        <item x="25"/>
        <item x="706"/>
        <item x="69"/>
        <item x="736"/>
        <item x="831"/>
        <item x="134"/>
        <item x="410"/>
        <item x="126"/>
        <item x="563"/>
        <item x="923"/>
        <item x="66"/>
        <item x="375"/>
        <item x="980"/>
        <item x="299"/>
        <item x="136"/>
        <item x="479"/>
        <item x="501"/>
        <item x="653"/>
        <item x="313"/>
        <item x="953"/>
        <item x="516"/>
        <item x="283"/>
        <item x="959"/>
        <item x="917"/>
        <item x="492"/>
        <item x="24"/>
        <item x="590"/>
        <item x="555"/>
        <item x="159"/>
        <item x="629"/>
        <item x="849"/>
        <item x="102"/>
        <item x="717"/>
        <item x="144"/>
        <item x="744"/>
        <item x="393"/>
        <item x="6"/>
        <item x="969"/>
        <item x="176"/>
        <item x="591"/>
        <item x="198"/>
        <item x="930"/>
        <item x="732"/>
        <item x="814"/>
        <item x="407"/>
        <item x="456"/>
        <item x="626"/>
        <item x="789"/>
        <item x="857"/>
        <item x="15"/>
        <item x="662"/>
        <item x="105"/>
        <item x="284"/>
        <item x="832"/>
        <item x="253"/>
        <item x="802"/>
        <item x="454"/>
        <item x="229"/>
        <item x="335"/>
        <item x="522"/>
        <item x="759"/>
        <item x="602"/>
        <item x="929"/>
        <item x="875"/>
        <item x="747"/>
        <item x="597"/>
        <item x="287"/>
        <item x="388"/>
        <item x="120"/>
        <item x="362"/>
        <item x="925"/>
        <item x="401"/>
        <item x="108"/>
        <item x="645"/>
        <item x="965"/>
        <item x="876"/>
        <item x="271"/>
        <item x="437"/>
        <item x="521"/>
        <item x="250"/>
        <item x="265"/>
        <item x="235"/>
        <item x="996"/>
        <item x="741"/>
        <item x="848"/>
        <item x="821"/>
        <item x="961"/>
        <item x="99"/>
        <item x="882"/>
        <item x="58"/>
        <item x="466"/>
        <item x="589"/>
        <item x="346"/>
        <item x="157"/>
        <item x="205"/>
        <item x="830"/>
        <item x="322"/>
        <item x="309"/>
        <item x="918"/>
        <item x="154"/>
        <item x="906"/>
        <item x="914"/>
        <item x="592"/>
        <item x="179"/>
        <item x="169"/>
        <item x="279"/>
        <item x="571"/>
        <item x="166"/>
        <item x="440"/>
        <item x="111"/>
        <item x="534"/>
        <item x="17"/>
        <item x="702"/>
        <item x="52"/>
        <item x="209"/>
        <item x="190"/>
        <item x="836"/>
        <item x="51"/>
        <item x="403"/>
        <item x="585"/>
        <item x="508"/>
        <item x="675"/>
        <item x="809"/>
        <item x="374"/>
        <item x="834"/>
        <item x="323"/>
        <item x="988"/>
        <item x="495"/>
        <item x="728"/>
        <item x="878"/>
        <item x="795"/>
        <item x="862"/>
        <item x="528"/>
        <item x="38"/>
        <item x="481"/>
        <item x="200"/>
        <item x="885"/>
        <item x="237"/>
        <item x="228"/>
        <item x="252"/>
        <item x="637"/>
        <item x="567"/>
        <item x="948"/>
        <item x="390"/>
        <item x="280"/>
        <item x="45"/>
        <item x="7"/>
        <item x="364"/>
        <item x="919"/>
        <item x="518"/>
        <item x="891"/>
        <item x="98"/>
        <item x="84"/>
        <item x="842"/>
        <item x="101"/>
        <item x="48"/>
        <item x="379"/>
        <item x="920"/>
        <item x="685"/>
        <item x="95"/>
        <item x="845"/>
        <item x="850"/>
        <item x="808"/>
        <item x="898"/>
        <item x="240"/>
        <item x="986"/>
        <item x="326"/>
        <item x="806"/>
        <item x="573"/>
        <item x="777"/>
        <item x="622"/>
        <item x="638"/>
        <item x="608"/>
        <item x="775"/>
        <item x="735"/>
        <item x="140"/>
        <item x="828"/>
        <item x="529"/>
        <item x="325"/>
        <item x="505"/>
        <item x="968"/>
        <item x="871"/>
        <item x="841"/>
        <item x="450"/>
        <item x="784"/>
        <item x="371"/>
        <item x="681"/>
        <item x="636"/>
        <item x="251"/>
        <item x="261"/>
        <item x="55"/>
        <item x="146"/>
        <item x="408"/>
        <item x="471"/>
        <item x="181"/>
        <item x="397"/>
        <item x="598"/>
        <item x="231"/>
        <item x="339"/>
        <item x="357"/>
        <item x="498"/>
        <item x="355"/>
        <item x="730"/>
        <item x="329"/>
        <item x="409"/>
        <item x="367"/>
        <item x="199"/>
        <item x="683"/>
        <item x="232"/>
        <item x="294"/>
        <item x="794"/>
        <item x="947"/>
        <item x="666"/>
        <item x="907"/>
        <item x="865"/>
        <item x="474"/>
        <item x="762"/>
        <item x="330"/>
        <item x="449"/>
        <item x="527"/>
        <item x="957"/>
        <item x="856"/>
        <item x="477"/>
        <item x="649"/>
        <item x="213"/>
        <item x="812"/>
        <item x="548"/>
        <item x="525"/>
        <item x="756"/>
        <item x="630"/>
        <item x="62"/>
        <item x="286"/>
        <item x="193"/>
        <item x="731"/>
        <item x="31"/>
        <item x="217"/>
        <item x="595"/>
        <item x="688"/>
        <item x="494"/>
        <item x="872"/>
        <item x="910"/>
        <item x="137"/>
        <item x="951"/>
        <item x="611"/>
        <item x="633"/>
        <item x="90"/>
        <item x="615"/>
        <item x="716"/>
        <item x="574"/>
        <item x="70"/>
        <item x="513"/>
        <item x="931"/>
        <item x="718"/>
        <item x="142"/>
        <item x="962"/>
        <item x="956"/>
        <item x="184"/>
        <item x="805"/>
        <item x="380"/>
        <item x="587"/>
        <item x="426"/>
        <item x="780"/>
        <item x="997"/>
        <item x="799"/>
        <item x="927"/>
        <item x="942"/>
        <item x="78"/>
        <item x="255"/>
        <item x="711"/>
        <item x="586"/>
        <item x="47"/>
        <item x="92"/>
        <item x="511"/>
        <item x="610"/>
        <item x="183"/>
        <item x="185"/>
        <item x="133"/>
        <item x="558"/>
        <item x="8"/>
        <item x="566"/>
        <item x="465"/>
        <item x="457"/>
        <item x="671"/>
        <item x="515"/>
        <item x="719"/>
        <item x="753"/>
        <item x="913"/>
        <item x="803"/>
        <item x="510"/>
        <item x="480"/>
        <item x="236"/>
        <item x="594"/>
        <item x="141"/>
        <item x="928"/>
        <item x="853"/>
        <item x="116"/>
        <item x="783"/>
        <item x="113"/>
        <item x="714"/>
        <item x="77"/>
        <item x="478"/>
        <item x="651"/>
        <item x="724"/>
        <item x="399"/>
        <item x="915"/>
        <item x="767"/>
        <item x="219"/>
        <item x="667"/>
        <item x="721"/>
        <item x="334"/>
        <item x="733"/>
        <item x="893"/>
        <item x="822"/>
        <item x="755"/>
        <item x="625"/>
        <item x="267"/>
        <item x="797"/>
        <item x="351"/>
        <item x="524"/>
        <item x="314"/>
        <item x="311"/>
        <item x="170"/>
        <item x="960"/>
        <item x="158"/>
        <item x="72"/>
        <item x="936"/>
        <item x="552"/>
        <item x="416"/>
        <item x="737"/>
        <item x="370"/>
        <item x="127"/>
        <item x="722"/>
        <item x="192"/>
        <item x="547"/>
        <item x="949"/>
        <item x="932"/>
        <item x="347"/>
        <item x="778"/>
        <item x="605"/>
        <item x="472"/>
        <item x="148"/>
        <item x="366"/>
        <item x="643"/>
        <item x="989"/>
        <item x="4"/>
        <item x="705"/>
        <item x="854"/>
        <item x="952"/>
        <item x="400"/>
        <item x="119"/>
        <item x="264"/>
        <item x="858"/>
        <item x="881"/>
        <item x="635"/>
        <item x="121"/>
        <item x="123"/>
        <item x="473"/>
        <item x="582"/>
        <item x="28"/>
        <item x="682"/>
        <item x="538"/>
        <item x="11"/>
        <item x="85"/>
        <item x="439"/>
        <item x="712"/>
        <item x="827"/>
        <item x="406"/>
        <item x="291"/>
        <item x="971"/>
        <item x="444"/>
        <item x="316"/>
        <item x="423"/>
        <item x="10"/>
        <item x="302"/>
        <item x="509"/>
        <item x="912"/>
        <item x="734"/>
        <item x="779"/>
        <item x="537"/>
        <item x="107"/>
        <item x="373"/>
        <item x="995"/>
        <item x="42"/>
        <item x="880"/>
        <item x="680"/>
        <item x="282"/>
        <item x="771"/>
        <item x="843"/>
        <item x="37"/>
        <item x="103"/>
        <item x="658"/>
        <item x="998"/>
        <item x="22"/>
        <item x="659"/>
        <item x="139"/>
        <item x="642"/>
        <item x="616"/>
        <item x="81"/>
        <item x="676"/>
        <item x="895"/>
        <item x="873"/>
        <item x="26"/>
        <item x="246"/>
        <item x="241"/>
        <item x="438"/>
        <item x="153"/>
        <item x="863"/>
        <item x="769"/>
        <item x="818"/>
        <item x="211"/>
        <item x="13"/>
        <item x="904"/>
        <item x="285"/>
        <item x="650"/>
        <item x="903"/>
        <item x="35"/>
        <item x="0"/>
        <item x="1"/>
        <item x="171"/>
        <item x="46"/>
        <item x="823"/>
        <item x="601"/>
        <item x="983"/>
        <item x="807"/>
        <item x="964"/>
        <item x="238"/>
        <item x="289"/>
        <item x="861"/>
        <item x="247"/>
        <item x="53"/>
        <item x="665"/>
        <item x="804"/>
        <item x="975"/>
        <item x="922"/>
        <item x="118"/>
        <item x="763"/>
        <item x="852"/>
        <item x="689"/>
        <item x="824"/>
        <item x="844"/>
        <item x="428"/>
        <item x="36"/>
        <item x="443"/>
        <item x="216"/>
        <item x="110"/>
        <item x="125"/>
        <item x="693"/>
        <item x="496"/>
        <item x="533"/>
        <item x="739"/>
        <item x="545"/>
        <item x="619"/>
        <item x="74"/>
        <item x="859"/>
        <item x="432"/>
        <item x="168"/>
        <item x="819"/>
        <item x="727"/>
        <item x="49"/>
        <item x="204"/>
        <item x="14"/>
        <item x="266"/>
        <item x="96"/>
        <item x="703"/>
        <item x="514"/>
        <item x="985"/>
        <item x="745"/>
        <item x="604"/>
        <item x="503"/>
        <item x="50"/>
        <item x="61"/>
        <item x="607"/>
        <item x="3"/>
        <item x="40"/>
        <item x="221"/>
        <item x="883"/>
        <item x="448"/>
        <item x="701"/>
        <item x="387"/>
        <item x="188"/>
        <item x="361"/>
        <item x="80"/>
        <item x="766"/>
        <item x="201"/>
        <item x="365"/>
        <item x="984"/>
        <item x="588"/>
        <item x="445"/>
        <item x="536"/>
        <item x="787"/>
        <item x="254"/>
        <item x="634"/>
        <item x="877"/>
        <item x="565"/>
        <item x="429"/>
        <item x="151"/>
        <item x="249"/>
        <item x="945"/>
        <item x="531"/>
        <item x="297"/>
        <item x="395"/>
        <item x="572"/>
        <item x="530"/>
        <item x="694"/>
        <item x="256"/>
        <item x="641"/>
        <item x="422"/>
        <item x="940"/>
        <item x="172"/>
        <item x="160"/>
        <item x="451"/>
        <item x="502"/>
        <item x="686"/>
        <item x="378"/>
        <item x="905"/>
        <item x="467"/>
        <item x="132"/>
        <item x="117"/>
        <item x="981"/>
        <item x="135"/>
        <item x="943"/>
        <item x="273"/>
        <item x="86"/>
        <item x="305"/>
        <item x="612"/>
        <item x="402"/>
        <item x="786"/>
        <item x="603"/>
        <item x="376"/>
        <item x="627"/>
        <item x="978"/>
        <item x="389"/>
        <item x="167"/>
        <item x="383"/>
        <item x="847"/>
        <item x="222"/>
        <item x="946"/>
        <item x="581"/>
        <item x="596"/>
        <item x="315"/>
        <item x="911"/>
        <item x="34"/>
        <item x="300"/>
        <item x="392"/>
        <item x="470"/>
        <item x="469"/>
        <item x="156"/>
        <item x="224"/>
        <item x="88"/>
        <item x="569"/>
        <item x="344"/>
        <item x="561"/>
        <item x="583"/>
        <item x="699"/>
        <item x="542"/>
        <item x="640"/>
        <item x="580"/>
        <item x="648"/>
        <item x="613"/>
        <item x="318"/>
        <item x="244"/>
        <item x="792"/>
        <item x="340"/>
        <item x="546"/>
        <item x="207"/>
        <item x="405"/>
        <item x="523"/>
        <item x="618"/>
        <item x="519"/>
        <item x="348"/>
        <item x="963"/>
        <item x="504"/>
        <item t="default"/>
      </items>
    </pivotField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numFmtId="164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Customer ID" fld="0" subtotal="count" baseField="0" baseItem="0"/>
  </dataFields>
  <formats count="10">
    <format dxfId="40">
      <pivotArea type="all" dataOnly="0" outline="0" fieldPosition="0"/>
    </format>
    <format dxfId="39">
      <pivotArea outline="0" collapsedLevelsAreSubtotals="1" fieldPosition="0"/>
    </format>
    <format dxfId="38">
      <pivotArea type="origin" dataOnly="0" labelOnly="1" outline="0" fieldPosition="0"/>
    </format>
    <format dxfId="37">
      <pivotArea field="11" type="button" dataOnly="0" labelOnly="1" outline="0" axis="axisCol" fieldPosition="0"/>
    </format>
    <format dxfId="36">
      <pivotArea type="topRight" dataOnly="0" labelOnly="1" outline="0" fieldPosition="0"/>
    </format>
    <format dxfId="35">
      <pivotArea field="3" type="button" dataOnly="0" labelOnly="1" outline="0" axis="axisRow" fieldPosition="0"/>
    </format>
    <format dxfId="34">
      <pivotArea dataOnly="0" labelOnly="1" fieldPosition="0">
        <references count="1">
          <reference field="3" count="0"/>
        </references>
      </pivotArea>
    </format>
    <format dxfId="33">
      <pivotArea dataOnly="0" labelOnly="1" grandRow="1" outline="0" fieldPosition="0"/>
    </format>
    <format dxfId="32">
      <pivotArea dataOnly="0" labelOnly="1" fieldPosition="0">
        <references count="1">
          <reference field="11" count="0"/>
        </references>
      </pivotArea>
    </format>
    <format dxfId="31">
      <pivotArea dataOnly="0" labelOnly="1" grandCol="1" outline="0" fieldPosition="0"/>
    </format>
  </format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15745-95B9-4E44-9ACF-59936D66B565}" name="CustomerData3" displayName="CustomerData3" ref="A1:O1001" totalsRowShown="0" headerRowDxfId="48" headerRowBorderDxfId="47" tableBorderDxfId="46">
  <autoFilter ref="A1:O1001" xr:uid="{00000000-0009-0000-0000-000000000000}"/>
  <tableColumns count="15">
    <tableColumn id="1" xr3:uid="{1EBCBD0A-78FA-4895-9422-1A8A0F952710}" name="Customer ID"/>
    <tableColumn id="2" xr3:uid="{11435B33-270C-4E96-A59C-3AF8B970A413}" name="Signup Date" dataDxfId="45"/>
    <tableColumn id="3" xr3:uid="{E8483967-57FB-41F1-BB0D-613F8C9BDE43}" name="Cohort Month"/>
    <tableColumn id="4" xr3:uid="{E64A6D41-A201-449E-A6A8-5DFC2359B762}" name="Subscription Plan"/>
    <tableColumn id="5" xr3:uid="{A0B0D586-0BEF-48EC-B950-18A11D107C36}" name="Region"/>
    <tableColumn id="6" xr3:uid="{6412D515-0B88-4131-8C66-9A2DCA51CAA1}" name="Age Group"/>
    <tableColumn id="7" xr3:uid="{45AE6BC9-3A5B-46E8-B259-0E98A03264B8}" name="Customer Segment"/>
    <tableColumn id="8" xr3:uid="{2D4AC694-DF95-4573-A061-B54A218C9F18}" name="Acquisition Channel"/>
    <tableColumn id="9" xr3:uid="{B746DB9F-D859-4B4D-AF0C-1E202B902D13}" name="Tenure (Months)"/>
    <tableColumn id="10" xr3:uid="{FF64A374-B1B2-45BB-B8D5-4034A553F5E2}" name="Monthly Charges" dataDxfId="44"/>
    <tableColumn id="11" xr3:uid="{E7F5712C-1D09-4E0B-B110-BAD4A0601FA5}" name="Total Charges" dataDxfId="43"/>
    <tableColumn id="12" xr3:uid="{CE8C79D4-F19D-421D-88EA-5B64A6C7DF65}" name="Churn Status"/>
    <tableColumn id="13" xr3:uid="{F2FCA5C4-3D3C-47EA-B583-4AE1105F204A}" name="Churn Reason"/>
    <tableColumn id="14" xr3:uid="{00923FF3-C07F-4112-B8B5-F50BB96E0D8B}" name="Last Active Date" dataDxfId="42"/>
    <tableColumn id="15" xr3:uid="{A4135F35-C262-4F3C-981C-A6671512F8E2}" name="Customer Lifetime Value" dataDxfId="4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26C39F-1BDC-408F-BE0C-666672CE3A28}" name="CustomerData" displayName="CustomerData" ref="A1:O1001" totalsRowShown="0" headerRowDxfId="4" headerRowBorderDxfId="3" tableBorderDxfId="2">
  <autoFilter ref="A1:O1001" xr:uid="{00000000-0009-0000-0000-000000000000}"/>
  <tableColumns count="15">
    <tableColumn id="1" xr3:uid="{40E181F1-0B4C-4ECA-BBB6-6F8ECCCECF57}" name="Customer ID"/>
    <tableColumn id="2" xr3:uid="{970F2A01-A726-4014-B86D-78577D32C79B}" name="Signup Date" dataDxfId="1"/>
    <tableColumn id="3" xr3:uid="{AF3B319F-655C-42DB-B24D-4962149C2C24}" name="Cohort Month"/>
    <tableColumn id="4" xr3:uid="{C2099AED-EAA1-44EF-83E3-0B89FD2A2C4B}" name="Subscription Plan"/>
    <tableColumn id="5" xr3:uid="{7A128A79-AB06-4F18-B1BD-EB5A37E78F5C}" name="Region"/>
    <tableColumn id="6" xr3:uid="{1AE3F3F0-75A7-4B2E-84F4-978D0C225A05}" name="Age Group"/>
    <tableColumn id="7" xr3:uid="{5AC52493-AD7E-4159-B7C6-9BF8FF7D1872}" name="Customer Segment"/>
    <tableColumn id="8" xr3:uid="{91B89684-1B0A-4278-BA6F-7F7D91360B49}" name="Acquisition Channel"/>
    <tableColumn id="9" xr3:uid="{0FFFDA18-6F37-40D1-83AC-CD118AD436BE}" name="Tenure (Months)"/>
    <tableColumn id="10" xr3:uid="{050B30F1-17DC-457E-BF6C-2CEC25D4B2ED}" name="Monthly Charges"/>
    <tableColumn id="11" xr3:uid="{F0C801EA-41FE-4F65-8E52-B7A756C8A614}" name="Total Charges"/>
    <tableColumn id="12" xr3:uid="{68410331-904D-4101-A1E2-DED12AF66314}" name="Churn Status"/>
    <tableColumn id="13" xr3:uid="{F52D30A1-4707-4B25-BD9A-F55049E21D7D}" name="Churn Reason"/>
    <tableColumn id="14" xr3:uid="{41915704-9BDD-42BA-96FE-7E0390D2ECC8}" name="Last Active Date" dataDxfId="0"/>
    <tableColumn id="15" xr3:uid="{DC6EAF70-BF64-4537-9FCE-08400231D648}" name="Customer Lifetime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8613-4204-4239-93F8-50ACBEBAD2E1}">
  <dimension ref="A1:O1001"/>
  <sheetViews>
    <sheetView workbookViewId="0">
      <pane ySplit="1" topLeftCell="A977" activePane="bottomLeft" state="frozen"/>
      <selection pane="bottomLeft" sqref="A1:XFD1"/>
    </sheetView>
  </sheetViews>
  <sheetFormatPr defaultRowHeight="14.4" x14ac:dyDescent="0.3"/>
  <cols>
    <col min="1" max="1" width="16.21875" customWidth="1"/>
    <col min="2" max="2" width="22.88671875" customWidth="1"/>
    <col min="3" max="3" width="20.6640625" customWidth="1"/>
    <col min="4" max="4" width="20" customWidth="1"/>
    <col min="5" max="5" width="12" customWidth="1"/>
    <col min="6" max="6" width="13.88671875" customWidth="1"/>
    <col min="7" max="7" width="18.88671875" customWidth="1"/>
    <col min="8" max="8" width="20" customWidth="1"/>
    <col min="9" max="9" width="18" customWidth="1"/>
    <col min="10" max="10" width="17.21875" style="6" customWidth="1"/>
    <col min="11" max="11" width="15" style="6" customWidth="1"/>
    <col min="12" max="12" width="15" customWidth="1"/>
    <col min="13" max="13" width="22" customWidth="1"/>
    <col min="14" max="14" width="18" style="3" customWidth="1"/>
    <col min="15" max="15" width="23.44140625" style="6" customWidth="1"/>
  </cols>
  <sheetData>
    <row r="1" spans="1:15" x14ac:dyDescent="0.3">
      <c r="A1" s="2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  <c r="K1" s="5" t="s">
        <v>10</v>
      </c>
      <c r="L1" s="2" t="s">
        <v>11</v>
      </c>
      <c r="M1" s="2" t="s">
        <v>12</v>
      </c>
      <c r="N1" s="4" t="s">
        <v>13</v>
      </c>
      <c r="O1" s="5" t="s">
        <v>14</v>
      </c>
    </row>
    <row r="2" spans="1:15" x14ac:dyDescent="0.3">
      <c r="A2" t="s">
        <v>15</v>
      </c>
      <c r="B2" s="3">
        <v>45659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18</v>
      </c>
      <c r="J2" s="6">
        <v>1434.26</v>
      </c>
      <c r="K2" s="6">
        <v>25816.68</v>
      </c>
      <c r="L2" t="s">
        <v>22</v>
      </c>
      <c r="M2" t="s">
        <v>22</v>
      </c>
      <c r="N2" s="3">
        <v>46203</v>
      </c>
      <c r="O2" s="6">
        <v>25816.68</v>
      </c>
    </row>
    <row r="3" spans="1:15" x14ac:dyDescent="0.3">
      <c r="A3" t="s">
        <v>23</v>
      </c>
      <c r="B3" s="3">
        <v>45659</v>
      </c>
      <c r="C3" t="s">
        <v>16</v>
      </c>
      <c r="D3" t="s">
        <v>24</v>
      </c>
      <c r="E3" t="s">
        <v>25</v>
      </c>
      <c r="F3" t="s">
        <v>19</v>
      </c>
      <c r="G3" t="s">
        <v>26</v>
      </c>
      <c r="H3" t="s">
        <v>21</v>
      </c>
      <c r="I3">
        <v>18</v>
      </c>
      <c r="J3" s="6">
        <v>923.8</v>
      </c>
      <c r="K3" s="6">
        <v>16628.400000000001</v>
      </c>
      <c r="L3" t="s">
        <v>22</v>
      </c>
      <c r="M3" t="s">
        <v>22</v>
      </c>
      <c r="N3" s="3">
        <v>46203</v>
      </c>
      <c r="O3" s="6">
        <v>16628.400000000001</v>
      </c>
    </row>
    <row r="4" spans="1:15" x14ac:dyDescent="0.3">
      <c r="A4" t="s">
        <v>27</v>
      </c>
      <c r="B4" s="3">
        <v>45659</v>
      </c>
      <c r="C4" t="s">
        <v>16</v>
      </c>
      <c r="D4" t="s">
        <v>24</v>
      </c>
      <c r="E4" t="s">
        <v>28</v>
      </c>
      <c r="F4" t="s">
        <v>29</v>
      </c>
      <c r="G4" t="s">
        <v>20</v>
      </c>
      <c r="H4" t="s">
        <v>21</v>
      </c>
      <c r="I4">
        <v>11</v>
      </c>
      <c r="J4" s="6">
        <v>865.12</v>
      </c>
      <c r="K4" s="6">
        <v>9516.32</v>
      </c>
      <c r="L4" t="s">
        <v>30</v>
      </c>
      <c r="M4" t="s">
        <v>31</v>
      </c>
      <c r="N4" s="3">
        <v>45984</v>
      </c>
      <c r="O4" s="6">
        <v>9516.32</v>
      </c>
    </row>
    <row r="5" spans="1:15" x14ac:dyDescent="0.3">
      <c r="A5" t="s">
        <v>32</v>
      </c>
      <c r="B5" s="3">
        <v>45659</v>
      </c>
      <c r="C5" t="s">
        <v>16</v>
      </c>
      <c r="D5" t="s">
        <v>24</v>
      </c>
      <c r="E5" t="s">
        <v>28</v>
      </c>
      <c r="F5" t="s">
        <v>33</v>
      </c>
      <c r="G5" t="s">
        <v>20</v>
      </c>
      <c r="H5" t="s">
        <v>34</v>
      </c>
      <c r="I5">
        <v>18</v>
      </c>
      <c r="J5" s="6">
        <v>838.06</v>
      </c>
      <c r="K5" s="6">
        <v>15085.08</v>
      </c>
      <c r="L5" t="s">
        <v>22</v>
      </c>
      <c r="M5" t="s">
        <v>22</v>
      </c>
      <c r="N5" s="3">
        <v>46203</v>
      </c>
      <c r="O5" s="6">
        <v>15085.08</v>
      </c>
    </row>
    <row r="6" spans="1:15" x14ac:dyDescent="0.3">
      <c r="A6" t="s">
        <v>35</v>
      </c>
      <c r="B6" s="3">
        <v>45659</v>
      </c>
      <c r="C6" t="s">
        <v>16</v>
      </c>
      <c r="D6" t="s">
        <v>24</v>
      </c>
      <c r="E6" t="s">
        <v>18</v>
      </c>
      <c r="F6" t="s">
        <v>19</v>
      </c>
      <c r="G6" t="s">
        <v>20</v>
      </c>
      <c r="H6" t="s">
        <v>34</v>
      </c>
      <c r="I6">
        <v>17</v>
      </c>
      <c r="J6" s="6">
        <v>915.85</v>
      </c>
      <c r="K6" s="6">
        <v>15569.45</v>
      </c>
      <c r="L6" t="s">
        <v>30</v>
      </c>
      <c r="M6" t="s">
        <v>36</v>
      </c>
      <c r="N6" s="3">
        <v>46174</v>
      </c>
      <c r="O6" s="6">
        <v>15569.45</v>
      </c>
    </row>
    <row r="7" spans="1:15" x14ac:dyDescent="0.3">
      <c r="A7" t="s">
        <v>37</v>
      </c>
      <c r="B7" s="3">
        <v>45660</v>
      </c>
      <c r="C7" t="s">
        <v>16</v>
      </c>
      <c r="D7" t="s">
        <v>24</v>
      </c>
      <c r="E7" t="s">
        <v>18</v>
      </c>
      <c r="F7" t="s">
        <v>38</v>
      </c>
      <c r="G7" t="s">
        <v>39</v>
      </c>
      <c r="H7" t="s">
        <v>40</v>
      </c>
      <c r="I7">
        <v>4</v>
      </c>
      <c r="J7" s="6">
        <v>972.79</v>
      </c>
      <c r="K7" s="6">
        <v>3891.16</v>
      </c>
      <c r="L7" t="s">
        <v>30</v>
      </c>
      <c r="M7" t="s">
        <v>41</v>
      </c>
      <c r="N7" s="3">
        <v>45794</v>
      </c>
      <c r="O7" s="6">
        <v>3891.16</v>
      </c>
    </row>
    <row r="8" spans="1:15" x14ac:dyDescent="0.3">
      <c r="A8" t="s">
        <v>42</v>
      </c>
      <c r="B8" s="3">
        <v>45660</v>
      </c>
      <c r="C8" t="s">
        <v>16</v>
      </c>
      <c r="D8" t="s">
        <v>17</v>
      </c>
      <c r="E8" t="s">
        <v>18</v>
      </c>
      <c r="F8" t="s">
        <v>29</v>
      </c>
      <c r="G8" t="s">
        <v>39</v>
      </c>
      <c r="H8" t="s">
        <v>21</v>
      </c>
      <c r="I8">
        <v>4</v>
      </c>
      <c r="J8" s="6">
        <v>1557.28</v>
      </c>
      <c r="K8" s="6">
        <v>6229.12</v>
      </c>
      <c r="L8" t="s">
        <v>30</v>
      </c>
      <c r="M8" t="s">
        <v>43</v>
      </c>
      <c r="N8" s="3">
        <v>45794</v>
      </c>
      <c r="O8" s="6">
        <v>6229.12</v>
      </c>
    </row>
    <row r="9" spans="1:15" x14ac:dyDescent="0.3">
      <c r="A9" t="s">
        <v>44</v>
      </c>
      <c r="B9" s="3">
        <v>45660</v>
      </c>
      <c r="C9" t="s">
        <v>16</v>
      </c>
      <c r="D9" t="s">
        <v>17</v>
      </c>
      <c r="E9" t="s">
        <v>28</v>
      </c>
      <c r="F9" t="s">
        <v>38</v>
      </c>
      <c r="G9" t="s">
        <v>39</v>
      </c>
      <c r="H9" t="s">
        <v>45</v>
      </c>
      <c r="I9">
        <v>18</v>
      </c>
      <c r="J9" s="6">
        <v>1592.2</v>
      </c>
      <c r="K9" s="6">
        <v>28659.599999999999</v>
      </c>
      <c r="L9" t="s">
        <v>22</v>
      </c>
      <c r="M9" t="s">
        <v>22</v>
      </c>
      <c r="N9" s="3">
        <v>46203</v>
      </c>
      <c r="O9" s="6">
        <v>28659.599999999999</v>
      </c>
    </row>
    <row r="10" spans="1:15" x14ac:dyDescent="0.3">
      <c r="A10" t="s">
        <v>46</v>
      </c>
      <c r="B10" s="3">
        <v>45660</v>
      </c>
      <c r="C10" t="s">
        <v>16</v>
      </c>
      <c r="D10" t="s">
        <v>24</v>
      </c>
      <c r="E10" t="s">
        <v>18</v>
      </c>
      <c r="F10" t="s">
        <v>33</v>
      </c>
      <c r="G10" t="s">
        <v>39</v>
      </c>
      <c r="H10" t="s">
        <v>21</v>
      </c>
      <c r="I10">
        <v>18</v>
      </c>
      <c r="J10" s="6">
        <v>880.26</v>
      </c>
      <c r="K10" s="6">
        <v>15844.68</v>
      </c>
      <c r="L10" t="s">
        <v>22</v>
      </c>
      <c r="M10" t="s">
        <v>22</v>
      </c>
      <c r="N10" s="3">
        <v>46203</v>
      </c>
      <c r="O10" s="6">
        <v>15844.68</v>
      </c>
    </row>
    <row r="11" spans="1:15" x14ac:dyDescent="0.3">
      <c r="A11" t="s">
        <v>47</v>
      </c>
      <c r="B11" s="3">
        <v>45661</v>
      </c>
      <c r="C11" t="s">
        <v>16</v>
      </c>
      <c r="D11" t="s">
        <v>17</v>
      </c>
      <c r="E11" t="s">
        <v>25</v>
      </c>
      <c r="F11" t="s">
        <v>33</v>
      </c>
      <c r="G11" t="s">
        <v>39</v>
      </c>
      <c r="H11" t="s">
        <v>21</v>
      </c>
      <c r="I11">
        <v>18</v>
      </c>
      <c r="J11" s="6">
        <v>1577.03</v>
      </c>
      <c r="K11" s="6">
        <v>28386.54</v>
      </c>
      <c r="L11" t="s">
        <v>22</v>
      </c>
      <c r="M11" t="s">
        <v>22</v>
      </c>
      <c r="N11" s="3">
        <v>46203</v>
      </c>
      <c r="O11" s="6">
        <v>28386.54</v>
      </c>
    </row>
    <row r="12" spans="1:15" x14ac:dyDescent="0.3">
      <c r="A12" t="s">
        <v>48</v>
      </c>
      <c r="B12" s="3">
        <v>45662</v>
      </c>
      <c r="C12" t="s">
        <v>16</v>
      </c>
      <c r="D12" t="s">
        <v>49</v>
      </c>
      <c r="E12" t="s">
        <v>50</v>
      </c>
      <c r="F12" t="s">
        <v>51</v>
      </c>
      <c r="G12" t="s">
        <v>39</v>
      </c>
      <c r="H12" t="s">
        <v>40</v>
      </c>
      <c r="I12">
        <v>18</v>
      </c>
      <c r="J12" s="6">
        <v>469.5</v>
      </c>
      <c r="K12" s="6">
        <v>8451</v>
      </c>
      <c r="L12" t="s">
        <v>22</v>
      </c>
      <c r="M12" t="s">
        <v>22</v>
      </c>
      <c r="N12" s="3">
        <v>46203</v>
      </c>
      <c r="O12" s="6">
        <v>8451</v>
      </c>
    </row>
    <row r="13" spans="1:15" x14ac:dyDescent="0.3">
      <c r="A13" t="s">
        <v>52</v>
      </c>
      <c r="B13" s="3">
        <v>45662</v>
      </c>
      <c r="C13" t="s">
        <v>16</v>
      </c>
      <c r="D13" t="s">
        <v>24</v>
      </c>
      <c r="E13" t="s">
        <v>25</v>
      </c>
      <c r="F13" t="s">
        <v>29</v>
      </c>
      <c r="G13" t="s">
        <v>39</v>
      </c>
      <c r="H13" t="s">
        <v>40</v>
      </c>
      <c r="I13">
        <v>8</v>
      </c>
      <c r="J13" s="6">
        <v>969.26</v>
      </c>
      <c r="K13" s="6">
        <v>7754.08</v>
      </c>
      <c r="L13" t="s">
        <v>30</v>
      </c>
      <c r="M13" t="s">
        <v>31</v>
      </c>
      <c r="N13" s="3">
        <v>45918</v>
      </c>
      <c r="O13" s="6">
        <v>7754.08</v>
      </c>
    </row>
    <row r="14" spans="1:15" x14ac:dyDescent="0.3">
      <c r="A14" t="s">
        <v>53</v>
      </c>
      <c r="B14" s="3">
        <v>45663</v>
      </c>
      <c r="C14" t="s">
        <v>16</v>
      </c>
      <c r="D14" t="s">
        <v>49</v>
      </c>
      <c r="E14" t="s">
        <v>50</v>
      </c>
      <c r="F14" t="s">
        <v>19</v>
      </c>
      <c r="G14" t="s">
        <v>20</v>
      </c>
      <c r="H14" t="s">
        <v>21</v>
      </c>
      <c r="I14">
        <v>18</v>
      </c>
      <c r="J14" s="6">
        <v>462.44</v>
      </c>
      <c r="K14" s="6">
        <v>8323.92</v>
      </c>
      <c r="L14" t="s">
        <v>22</v>
      </c>
      <c r="M14" t="s">
        <v>22</v>
      </c>
      <c r="N14" s="3">
        <v>46203</v>
      </c>
      <c r="O14" s="6">
        <v>8323.92</v>
      </c>
    </row>
    <row r="15" spans="1:15" x14ac:dyDescent="0.3">
      <c r="A15" t="s">
        <v>54</v>
      </c>
      <c r="B15" s="3">
        <v>45663</v>
      </c>
      <c r="C15" t="s">
        <v>16</v>
      </c>
      <c r="D15" t="s">
        <v>17</v>
      </c>
      <c r="E15" t="s">
        <v>28</v>
      </c>
      <c r="F15" t="s">
        <v>29</v>
      </c>
      <c r="G15" t="s">
        <v>39</v>
      </c>
      <c r="H15" t="s">
        <v>34</v>
      </c>
      <c r="I15">
        <v>9</v>
      </c>
      <c r="J15" s="6">
        <v>1394.35</v>
      </c>
      <c r="K15" s="6">
        <v>12549.15</v>
      </c>
      <c r="L15" t="s">
        <v>30</v>
      </c>
      <c r="M15" t="s">
        <v>36</v>
      </c>
      <c r="N15" s="3">
        <v>45951</v>
      </c>
      <c r="O15" s="6">
        <v>12549.15</v>
      </c>
    </row>
    <row r="16" spans="1:15" x14ac:dyDescent="0.3">
      <c r="A16" t="s">
        <v>55</v>
      </c>
      <c r="B16" s="3">
        <v>45663</v>
      </c>
      <c r="C16" t="s">
        <v>16</v>
      </c>
      <c r="D16" t="s">
        <v>17</v>
      </c>
      <c r="E16" t="s">
        <v>18</v>
      </c>
      <c r="F16" t="s">
        <v>29</v>
      </c>
      <c r="G16" t="s">
        <v>20</v>
      </c>
      <c r="H16" t="s">
        <v>40</v>
      </c>
      <c r="I16">
        <v>14</v>
      </c>
      <c r="J16" s="6">
        <v>1641.78</v>
      </c>
      <c r="K16" s="6">
        <v>22984.92</v>
      </c>
      <c r="L16" t="s">
        <v>30</v>
      </c>
      <c r="M16" t="s">
        <v>41</v>
      </c>
      <c r="N16" s="3">
        <v>46092</v>
      </c>
      <c r="O16" s="6">
        <v>22984.92</v>
      </c>
    </row>
    <row r="17" spans="1:15" x14ac:dyDescent="0.3">
      <c r="A17" t="s">
        <v>56</v>
      </c>
      <c r="B17" s="3">
        <v>45664</v>
      </c>
      <c r="C17" t="s">
        <v>16</v>
      </c>
      <c r="D17" t="s">
        <v>24</v>
      </c>
      <c r="E17" t="s">
        <v>50</v>
      </c>
      <c r="F17" t="s">
        <v>19</v>
      </c>
      <c r="G17" t="s">
        <v>39</v>
      </c>
      <c r="H17" t="s">
        <v>21</v>
      </c>
      <c r="I17">
        <v>16</v>
      </c>
      <c r="J17" s="6">
        <v>871.12</v>
      </c>
      <c r="K17" s="6">
        <v>13937.92</v>
      </c>
      <c r="L17" t="s">
        <v>30</v>
      </c>
      <c r="M17" t="s">
        <v>41</v>
      </c>
      <c r="N17" s="3">
        <v>46155</v>
      </c>
      <c r="O17" s="6">
        <v>13937.92</v>
      </c>
    </row>
    <row r="18" spans="1:15" x14ac:dyDescent="0.3">
      <c r="A18" t="s">
        <v>57</v>
      </c>
      <c r="B18" s="3">
        <v>45664</v>
      </c>
      <c r="C18" t="s">
        <v>16</v>
      </c>
      <c r="D18" t="s">
        <v>17</v>
      </c>
      <c r="E18" t="s">
        <v>25</v>
      </c>
      <c r="F18" t="s">
        <v>29</v>
      </c>
      <c r="G18" t="s">
        <v>39</v>
      </c>
      <c r="H18" t="s">
        <v>21</v>
      </c>
      <c r="I18">
        <v>18</v>
      </c>
      <c r="J18" s="6">
        <v>1428.29</v>
      </c>
      <c r="K18" s="6">
        <v>25709.22</v>
      </c>
      <c r="L18" t="s">
        <v>22</v>
      </c>
      <c r="M18" t="s">
        <v>22</v>
      </c>
      <c r="N18" s="3">
        <v>46203</v>
      </c>
      <c r="O18" s="6">
        <v>25709.22</v>
      </c>
    </row>
    <row r="19" spans="1:15" x14ac:dyDescent="0.3">
      <c r="A19" t="s">
        <v>58</v>
      </c>
      <c r="B19" s="3">
        <v>45665</v>
      </c>
      <c r="C19" t="s">
        <v>16</v>
      </c>
      <c r="D19" t="s">
        <v>49</v>
      </c>
      <c r="E19" t="s">
        <v>18</v>
      </c>
      <c r="F19" t="s">
        <v>19</v>
      </c>
      <c r="G19" t="s">
        <v>20</v>
      </c>
      <c r="H19" t="s">
        <v>34</v>
      </c>
      <c r="I19">
        <v>18</v>
      </c>
      <c r="J19" s="6">
        <v>491.6</v>
      </c>
      <c r="K19" s="6">
        <v>8848.7999999999993</v>
      </c>
      <c r="L19" t="s">
        <v>22</v>
      </c>
      <c r="M19" t="s">
        <v>22</v>
      </c>
      <c r="N19" s="3">
        <v>46203</v>
      </c>
      <c r="O19" s="6">
        <v>8848.7999999999993</v>
      </c>
    </row>
    <row r="20" spans="1:15" x14ac:dyDescent="0.3">
      <c r="A20" t="s">
        <v>59</v>
      </c>
      <c r="B20" s="3">
        <v>45665</v>
      </c>
      <c r="C20" t="s">
        <v>16</v>
      </c>
      <c r="D20" t="s">
        <v>24</v>
      </c>
      <c r="E20" t="s">
        <v>28</v>
      </c>
      <c r="F20" t="s">
        <v>38</v>
      </c>
      <c r="G20" t="s">
        <v>39</v>
      </c>
      <c r="H20" t="s">
        <v>34</v>
      </c>
      <c r="I20">
        <v>8</v>
      </c>
      <c r="J20" s="6">
        <v>880.33</v>
      </c>
      <c r="K20" s="6">
        <v>7042.64</v>
      </c>
      <c r="L20" t="s">
        <v>30</v>
      </c>
      <c r="M20" t="s">
        <v>41</v>
      </c>
      <c r="N20" s="3">
        <v>45897</v>
      </c>
      <c r="O20" s="6">
        <v>7042.64</v>
      </c>
    </row>
    <row r="21" spans="1:15" x14ac:dyDescent="0.3">
      <c r="A21" t="s">
        <v>60</v>
      </c>
      <c r="B21" s="3">
        <v>45665</v>
      </c>
      <c r="C21" t="s">
        <v>16</v>
      </c>
      <c r="D21" t="s">
        <v>49</v>
      </c>
      <c r="E21" t="s">
        <v>18</v>
      </c>
      <c r="F21" t="s">
        <v>19</v>
      </c>
      <c r="G21" t="s">
        <v>39</v>
      </c>
      <c r="H21" t="s">
        <v>21</v>
      </c>
      <c r="I21">
        <v>18</v>
      </c>
      <c r="J21" s="6">
        <v>517.04999999999995</v>
      </c>
      <c r="K21" s="6">
        <v>9306.9</v>
      </c>
      <c r="L21" t="s">
        <v>22</v>
      </c>
      <c r="M21" t="s">
        <v>22</v>
      </c>
      <c r="N21" s="3">
        <v>46203</v>
      </c>
      <c r="O21" s="6">
        <v>9306.9</v>
      </c>
    </row>
    <row r="22" spans="1:15" x14ac:dyDescent="0.3">
      <c r="A22" t="s">
        <v>61</v>
      </c>
      <c r="B22" s="3">
        <v>45666</v>
      </c>
      <c r="C22" t="s">
        <v>16</v>
      </c>
      <c r="D22" t="s">
        <v>49</v>
      </c>
      <c r="E22" t="s">
        <v>28</v>
      </c>
      <c r="F22" t="s">
        <v>51</v>
      </c>
      <c r="G22" t="s">
        <v>20</v>
      </c>
      <c r="H22" t="s">
        <v>40</v>
      </c>
      <c r="I22">
        <v>18</v>
      </c>
      <c r="J22" s="6">
        <v>461.9</v>
      </c>
      <c r="K22" s="6">
        <v>8314.2000000000007</v>
      </c>
      <c r="L22" t="s">
        <v>22</v>
      </c>
      <c r="M22" t="s">
        <v>22</v>
      </c>
      <c r="N22" s="3">
        <v>46203</v>
      </c>
      <c r="O22" s="6">
        <v>8314.2000000000007</v>
      </c>
    </row>
    <row r="23" spans="1:15" x14ac:dyDescent="0.3">
      <c r="A23" t="s">
        <v>62</v>
      </c>
      <c r="B23" s="3">
        <v>45666</v>
      </c>
      <c r="C23" t="s">
        <v>16</v>
      </c>
      <c r="D23" t="s">
        <v>24</v>
      </c>
      <c r="E23" t="s">
        <v>50</v>
      </c>
      <c r="F23" t="s">
        <v>29</v>
      </c>
      <c r="G23" t="s">
        <v>39</v>
      </c>
      <c r="H23" t="s">
        <v>21</v>
      </c>
      <c r="I23">
        <v>18</v>
      </c>
      <c r="J23" s="6">
        <v>958.74</v>
      </c>
      <c r="K23" s="6">
        <v>17257.32</v>
      </c>
      <c r="L23" t="s">
        <v>22</v>
      </c>
      <c r="M23" t="s">
        <v>22</v>
      </c>
      <c r="N23" s="3">
        <v>46203</v>
      </c>
      <c r="O23" s="6">
        <v>17257.32</v>
      </c>
    </row>
    <row r="24" spans="1:15" x14ac:dyDescent="0.3">
      <c r="A24" t="s">
        <v>63</v>
      </c>
      <c r="B24" s="3">
        <v>45666</v>
      </c>
      <c r="C24" t="s">
        <v>16</v>
      </c>
      <c r="D24" t="s">
        <v>24</v>
      </c>
      <c r="E24" t="s">
        <v>25</v>
      </c>
      <c r="F24" t="s">
        <v>33</v>
      </c>
      <c r="G24" t="s">
        <v>20</v>
      </c>
      <c r="H24" t="s">
        <v>21</v>
      </c>
      <c r="I24">
        <v>10</v>
      </c>
      <c r="J24" s="6">
        <v>850.62</v>
      </c>
      <c r="K24" s="6">
        <v>8506.2000000000007</v>
      </c>
      <c r="L24" t="s">
        <v>30</v>
      </c>
      <c r="M24" t="s">
        <v>43</v>
      </c>
      <c r="N24" s="3">
        <v>45963</v>
      </c>
      <c r="O24" s="6">
        <v>8506.2000000000007</v>
      </c>
    </row>
    <row r="25" spans="1:15" x14ac:dyDescent="0.3">
      <c r="A25" t="s">
        <v>64</v>
      </c>
      <c r="B25" s="3">
        <v>45666</v>
      </c>
      <c r="C25" t="s">
        <v>16</v>
      </c>
      <c r="D25" t="s">
        <v>24</v>
      </c>
      <c r="E25" t="s">
        <v>18</v>
      </c>
      <c r="F25" t="s">
        <v>38</v>
      </c>
      <c r="G25" t="s">
        <v>26</v>
      </c>
      <c r="H25" t="s">
        <v>21</v>
      </c>
      <c r="I25">
        <v>18</v>
      </c>
      <c r="J25" s="6">
        <v>966.58</v>
      </c>
      <c r="K25" s="6">
        <v>17398.439999999999</v>
      </c>
      <c r="L25" t="s">
        <v>22</v>
      </c>
      <c r="M25" t="s">
        <v>22</v>
      </c>
      <c r="N25" s="3">
        <v>46203</v>
      </c>
      <c r="O25" s="6">
        <v>17398.439999999999</v>
      </c>
    </row>
    <row r="26" spans="1:15" x14ac:dyDescent="0.3">
      <c r="A26" t="s">
        <v>65</v>
      </c>
      <c r="B26" s="3">
        <v>45667</v>
      </c>
      <c r="C26" t="s">
        <v>16</v>
      </c>
      <c r="D26" t="s">
        <v>49</v>
      </c>
      <c r="E26" t="s">
        <v>50</v>
      </c>
      <c r="F26" t="s">
        <v>51</v>
      </c>
      <c r="G26" t="s">
        <v>20</v>
      </c>
      <c r="H26" t="s">
        <v>45</v>
      </c>
      <c r="I26">
        <v>18</v>
      </c>
      <c r="J26" s="6">
        <v>453.65</v>
      </c>
      <c r="K26" s="6">
        <v>8165.7</v>
      </c>
      <c r="L26" t="s">
        <v>22</v>
      </c>
      <c r="M26" t="s">
        <v>22</v>
      </c>
      <c r="N26" s="3">
        <v>46203</v>
      </c>
      <c r="O26" s="6">
        <v>8165.7</v>
      </c>
    </row>
    <row r="27" spans="1:15" x14ac:dyDescent="0.3">
      <c r="A27" t="s">
        <v>66</v>
      </c>
      <c r="B27" s="3">
        <v>45667</v>
      </c>
      <c r="C27" t="s">
        <v>16</v>
      </c>
      <c r="D27" t="s">
        <v>24</v>
      </c>
      <c r="E27" t="s">
        <v>25</v>
      </c>
      <c r="F27" t="s">
        <v>29</v>
      </c>
      <c r="G27" t="s">
        <v>39</v>
      </c>
      <c r="H27" t="s">
        <v>34</v>
      </c>
      <c r="I27">
        <v>18</v>
      </c>
      <c r="J27" s="6">
        <v>966.87</v>
      </c>
      <c r="K27" s="6">
        <v>17403.66</v>
      </c>
      <c r="L27" t="s">
        <v>22</v>
      </c>
      <c r="M27" t="s">
        <v>22</v>
      </c>
      <c r="N27" s="3">
        <v>46203</v>
      </c>
      <c r="O27" s="6">
        <v>17403.66</v>
      </c>
    </row>
    <row r="28" spans="1:15" x14ac:dyDescent="0.3">
      <c r="A28" t="s">
        <v>67</v>
      </c>
      <c r="B28" s="3">
        <v>45668</v>
      </c>
      <c r="C28" t="s">
        <v>16</v>
      </c>
      <c r="D28" t="s">
        <v>49</v>
      </c>
      <c r="E28" t="s">
        <v>28</v>
      </c>
      <c r="F28" t="s">
        <v>29</v>
      </c>
      <c r="G28" t="s">
        <v>26</v>
      </c>
      <c r="H28" t="s">
        <v>21</v>
      </c>
      <c r="I28">
        <v>18</v>
      </c>
      <c r="J28" s="6">
        <v>474.03</v>
      </c>
      <c r="K28" s="6">
        <v>8532.5400000000009</v>
      </c>
      <c r="L28" t="s">
        <v>22</v>
      </c>
      <c r="M28" t="s">
        <v>22</v>
      </c>
      <c r="N28" s="3">
        <v>46203</v>
      </c>
      <c r="O28" s="6">
        <v>8532.5400000000009</v>
      </c>
    </row>
    <row r="29" spans="1:15" x14ac:dyDescent="0.3">
      <c r="A29" t="s">
        <v>68</v>
      </c>
      <c r="B29" s="3">
        <v>45669</v>
      </c>
      <c r="C29" t="s">
        <v>16</v>
      </c>
      <c r="D29" t="s">
        <v>24</v>
      </c>
      <c r="E29" t="s">
        <v>50</v>
      </c>
      <c r="F29" t="s">
        <v>29</v>
      </c>
      <c r="G29" t="s">
        <v>39</v>
      </c>
      <c r="H29" t="s">
        <v>34</v>
      </c>
      <c r="I29">
        <v>18</v>
      </c>
      <c r="J29" s="6">
        <v>937.01</v>
      </c>
      <c r="K29" s="6">
        <v>16866.18</v>
      </c>
      <c r="L29" t="s">
        <v>22</v>
      </c>
      <c r="M29" t="s">
        <v>22</v>
      </c>
      <c r="N29" s="3">
        <v>46203</v>
      </c>
      <c r="O29" s="6">
        <v>16866.18</v>
      </c>
    </row>
    <row r="30" spans="1:15" x14ac:dyDescent="0.3">
      <c r="A30" t="s">
        <v>69</v>
      </c>
      <c r="B30" s="3">
        <v>45669</v>
      </c>
      <c r="C30" t="s">
        <v>16</v>
      </c>
      <c r="D30" t="s">
        <v>24</v>
      </c>
      <c r="E30" t="s">
        <v>50</v>
      </c>
      <c r="F30" t="s">
        <v>19</v>
      </c>
      <c r="G30" t="s">
        <v>26</v>
      </c>
      <c r="H30" t="s">
        <v>34</v>
      </c>
      <c r="I30">
        <v>18</v>
      </c>
      <c r="J30" s="6">
        <v>899.84</v>
      </c>
      <c r="K30" s="6">
        <v>16197.12</v>
      </c>
      <c r="L30" t="s">
        <v>22</v>
      </c>
      <c r="M30" t="s">
        <v>22</v>
      </c>
      <c r="N30" s="3">
        <v>46203</v>
      </c>
      <c r="O30" s="6">
        <v>16197.12</v>
      </c>
    </row>
    <row r="31" spans="1:15" x14ac:dyDescent="0.3">
      <c r="A31" t="s">
        <v>70</v>
      </c>
      <c r="B31" s="3">
        <v>45669</v>
      </c>
      <c r="C31" t="s">
        <v>16</v>
      </c>
      <c r="D31" t="s">
        <v>49</v>
      </c>
      <c r="E31" t="s">
        <v>25</v>
      </c>
      <c r="F31" t="s">
        <v>19</v>
      </c>
      <c r="G31" t="s">
        <v>26</v>
      </c>
      <c r="H31" t="s">
        <v>34</v>
      </c>
      <c r="I31">
        <v>18</v>
      </c>
      <c r="J31" s="6">
        <v>498.25</v>
      </c>
      <c r="K31" s="6">
        <v>8968.5</v>
      </c>
      <c r="L31" t="s">
        <v>22</v>
      </c>
      <c r="M31" t="s">
        <v>22</v>
      </c>
      <c r="N31" s="3">
        <v>46203</v>
      </c>
      <c r="O31" s="6">
        <v>8968.5</v>
      </c>
    </row>
    <row r="32" spans="1:15" x14ac:dyDescent="0.3">
      <c r="A32" t="s">
        <v>71</v>
      </c>
      <c r="B32" s="3">
        <v>45670</v>
      </c>
      <c r="C32" t="s">
        <v>16</v>
      </c>
      <c r="D32" t="s">
        <v>49</v>
      </c>
      <c r="E32" t="s">
        <v>25</v>
      </c>
      <c r="F32" t="s">
        <v>38</v>
      </c>
      <c r="G32" t="s">
        <v>39</v>
      </c>
      <c r="H32" t="s">
        <v>45</v>
      </c>
      <c r="I32">
        <v>2</v>
      </c>
      <c r="J32" s="6">
        <v>507.02</v>
      </c>
      <c r="K32" s="6">
        <v>1014.04</v>
      </c>
      <c r="L32" t="s">
        <v>30</v>
      </c>
      <c r="M32" t="s">
        <v>36</v>
      </c>
      <c r="N32" s="3">
        <v>45727</v>
      </c>
      <c r="O32" s="6">
        <v>1014.04</v>
      </c>
    </row>
    <row r="33" spans="1:15" x14ac:dyDescent="0.3">
      <c r="A33" t="s">
        <v>72</v>
      </c>
      <c r="B33" s="3">
        <v>45670</v>
      </c>
      <c r="C33" t="s">
        <v>16</v>
      </c>
      <c r="D33" t="s">
        <v>17</v>
      </c>
      <c r="E33" t="s">
        <v>28</v>
      </c>
      <c r="F33" t="s">
        <v>33</v>
      </c>
      <c r="G33" t="s">
        <v>20</v>
      </c>
      <c r="H33" t="s">
        <v>21</v>
      </c>
      <c r="I33">
        <v>18</v>
      </c>
      <c r="J33" s="6">
        <v>1451.36</v>
      </c>
      <c r="K33" s="6">
        <v>26124.48</v>
      </c>
      <c r="L33" t="s">
        <v>22</v>
      </c>
      <c r="M33" t="s">
        <v>22</v>
      </c>
      <c r="N33" s="3">
        <v>46203</v>
      </c>
      <c r="O33" s="6">
        <v>26124.48</v>
      </c>
    </row>
    <row r="34" spans="1:15" x14ac:dyDescent="0.3">
      <c r="A34" t="s">
        <v>73</v>
      </c>
      <c r="B34" s="3">
        <v>45671</v>
      </c>
      <c r="C34" t="s">
        <v>16</v>
      </c>
      <c r="D34" t="s">
        <v>24</v>
      </c>
      <c r="E34" t="s">
        <v>25</v>
      </c>
      <c r="F34" t="s">
        <v>29</v>
      </c>
      <c r="G34" t="s">
        <v>39</v>
      </c>
      <c r="H34" t="s">
        <v>21</v>
      </c>
      <c r="I34">
        <v>17</v>
      </c>
      <c r="J34" s="6">
        <v>888.29</v>
      </c>
      <c r="K34" s="6">
        <v>15100.93</v>
      </c>
      <c r="L34" t="s">
        <v>22</v>
      </c>
      <c r="M34" t="s">
        <v>22</v>
      </c>
      <c r="N34" s="3">
        <v>46203</v>
      </c>
      <c r="O34" s="6">
        <v>15100.93</v>
      </c>
    </row>
    <row r="35" spans="1:15" x14ac:dyDescent="0.3">
      <c r="A35" t="s">
        <v>74</v>
      </c>
      <c r="B35" s="3">
        <v>45671</v>
      </c>
      <c r="C35" t="s">
        <v>16</v>
      </c>
      <c r="D35" t="s">
        <v>49</v>
      </c>
      <c r="E35" t="s">
        <v>28</v>
      </c>
      <c r="F35" t="s">
        <v>29</v>
      </c>
      <c r="G35" t="s">
        <v>39</v>
      </c>
      <c r="H35" t="s">
        <v>21</v>
      </c>
      <c r="I35">
        <v>17</v>
      </c>
      <c r="J35" s="6">
        <v>473.87</v>
      </c>
      <c r="K35" s="6">
        <v>8055.79</v>
      </c>
      <c r="L35" t="s">
        <v>22</v>
      </c>
      <c r="M35" t="s">
        <v>22</v>
      </c>
      <c r="N35" s="3">
        <v>46203</v>
      </c>
      <c r="O35" s="6">
        <v>8055.79</v>
      </c>
    </row>
    <row r="36" spans="1:15" x14ac:dyDescent="0.3">
      <c r="A36" t="s">
        <v>75</v>
      </c>
      <c r="B36" s="3">
        <v>45671</v>
      </c>
      <c r="C36" t="s">
        <v>16</v>
      </c>
      <c r="D36" t="s">
        <v>49</v>
      </c>
      <c r="E36" t="s">
        <v>25</v>
      </c>
      <c r="F36" t="s">
        <v>51</v>
      </c>
      <c r="G36" t="s">
        <v>39</v>
      </c>
      <c r="H36" t="s">
        <v>21</v>
      </c>
      <c r="I36">
        <v>17</v>
      </c>
      <c r="J36" s="6">
        <v>535.54999999999995</v>
      </c>
      <c r="K36" s="6">
        <v>9104.35</v>
      </c>
      <c r="L36" t="s">
        <v>22</v>
      </c>
      <c r="M36" t="s">
        <v>22</v>
      </c>
      <c r="N36" s="3">
        <v>46203</v>
      </c>
      <c r="O36" s="6">
        <v>9104.35</v>
      </c>
    </row>
    <row r="37" spans="1:15" x14ac:dyDescent="0.3">
      <c r="A37" t="s">
        <v>76</v>
      </c>
      <c r="B37" s="3">
        <v>45671</v>
      </c>
      <c r="C37" t="s">
        <v>16</v>
      </c>
      <c r="D37" t="s">
        <v>24</v>
      </c>
      <c r="E37" t="s">
        <v>25</v>
      </c>
      <c r="F37" t="s">
        <v>33</v>
      </c>
      <c r="G37" t="s">
        <v>39</v>
      </c>
      <c r="H37" t="s">
        <v>40</v>
      </c>
      <c r="I37">
        <v>15</v>
      </c>
      <c r="J37" s="6">
        <v>890.33</v>
      </c>
      <c r="K37" s="6">
        <v>13354.95</v>
      </c>
      <c r="L37" t="s">
        <v>30</v>
      </c>
      <c r="M37" t="s">
        <v>43</v>
      </c>
      <c r="N37" s="3">
        <v>46132</v>
      </c>
      <c r="O37" s="6">
        <v>13354.95</v>
      </c>
    </row>
    <row r="38" spans="1:15" x14ac:dyDescent="0.3">
      <c r="A38" t="s">
        <v>77</v>
      </c>
      <c r="B38" s="3">
        <v>45672</v>
      </c>
      <c r="C38" t="s">
        <v>16</v>
      </c>
      <c r="D38" t="s">
        <v>49</v>
      </c>
      <c r="E38" t="s">
        <v>28</v>
      </c>
      <c r="F38" t="s">
        <v>29</v>
      </c>
      <c r="G38" t="s">
        <v>39</v>
      </c>
      <c r="H38" t="s">
        <v>21</v>
      </c>
      <c r="I38">
        <v>17</v>
      </c>
      <c r="J38" s="6">
        <v>519.16999999999996</v>
      </c>
      <c r="K38" s="6">
        <v>8825.89</v>
      </c>
      <c r="L38" t="s">
        <v>22</v>
      </c>
      <c r="M38" t="s">
        <v>22</v>
      </c>
      <c r="N38" s="3">
        <v>46203</v>
      </c>
      <c r="O38" s="6">
        <v>8825.89</v>
      </c>
    </row>
    <row r="39" spans="1:15" x14ac:dyDescent="0.3">
      <c r="A39" t="s">
        <v>78</v>
      </c>
      <c r="B39" s="3">
        <v>45673</v>
      </c>
      <c r="C39" t="s">
        <v>16</v>
      </c>
      <c r="D39" t="s">
        <v>24</v>
      </c>
      <c r="E39" t="s">
        <v>25</v>
      </c>
      <c r="F39" t="s">
        <v>38</v>
      </c>
      <c r="G39" t="s">
        <v>26</v>
      </c>
      <c r="H39" t="s">
        <v>21</v>
      </c>
      <c r="I39">
        <v>17</v>
      </c>
      <c r="J39" s="6">
        <v>904.66</v>
      </c>
      <c r="K39" s="6">
        <v>15379.22</v>
      </c>
      <c r="L39" t="s">
        <v>22</v>
      </c>
      <c r="M39" t="s">
        <v>22</v>
      </c>
      <c r="N39" s="3">
        <v>46203</v>
      </c>
      <c r="O39" s="6">
        <v>15379.22</v>
      </c>
    </row>
    <row r="40" spans="1:15" x14ac:dyDescent="0.3">
      <c r="A40" t="s">
        <v>79</v>
      </c>
      <c r="B40" s="3">
        <v>45673</v>
      </c>
      <c r="C40" t="s">
        <v>16</v>
      </c>
      <c r="D40" t="s">
        <v>24</v>
      </c>
      <c r="E40" t="s">
        <v>25</v>
      </c>
      <c r="F40" t="s">
        <v>29</v>
      </c>
      <c r="G40" t="s">
        <v>20</v>
      </c>
      <c r="H40" t="s">
        <v>21</v>
      </c>
      <c r="I40">
        <v>5</v>
      </c>
      <c r="J40" s="6">
        <v>881.59</v>
      </c>
      <c r="K40" s="6">
        <v>4407.95</v>
      </c>
      <c r="L40" t="s">
        <v>30</v>
      </c>
      <c r="M40" t="s">
        <v>80</v>
      </c>
      <c r="N40" s="3">
        <v>45810</v>
      </c>
      <c r="O40" s="6">
        <v>4407.95</v>
      </c>
    </row>
    <row r="41" spans="1:15" x14ac:dyDescent="0.3">
      <c r="A41" t="s">
        <v>81</v>
      </c>
      <c r="B41" s="3">
        <v>45673</v>
      </c>
      <c r="C41" t="s">
        <v>16</v>
      </c>
      <c r="D41" t="s">
        <v>17</v>
      </c>
      <c r="E41" t="s">
        <v>28</v>
      </c>
      <c r="F41" t="s">
        <v>33</v>
      </c>
      <c r="G41" t="s">
        <v>39</v>
      </c>
      <c r="H41" t="s">
        <v>21</v>
      </c>
      <c r="I41">
        <v>17</v>
      </c>
      <c r="J41" s="6">
        <v>1639.13</v>
      </c>
      <c r="K41" s="6">
        <v>27865.21</v>
      </c>
      <c r="L41" t="s">
        <v>22</v>
      </c>
      <c r="M41" t="s">
        <v>22</v>
      </c>
      <c r="N41" s="3">
        <v>46203</v>
      </c>
      <c r="O41" s="6">
        <v>27865.21</v>
      </c>
    </row>
    <row r="42" spans="1:15" x14ac:dyDescent="0.3">
      <c r="A42" t="s">
        <v>82</v>
      </c>
      <c r="B42" s="3">
        <v>45673</v>
      </c>
      <c r="C42" t="s">
        <v>16</v>
      </c>
      <c r="D42" t="s">
        <v>49</v>
      </c>
      <c r="E42" t="s">
        <v>18</v>
      </c>
      <c r="F42" t="s">
        <v>38</v>
      </c>
      <c r="G42" t="s">
        <v>20</v>
      </c>
      <c r="H42" t="s">
        <v>21</v>
      </c>
      <c r="I42">
        <v>17</v>
      </c>
      <c r="J42" s="6">
        <v>469.83</v>
      </c>
      <c r="K42" s="6">
        <v>7987.11</v>
      </c>
      <c r="L42" t="s">
        <v>22</v>
      </c>
      <c r="M42" t="s">
        <v>22</v>
      </c>
      <c r="N42" s="3">
        <v>46203</v>
      </c>
      <c r="O42" s="6">
        <v>7987.11</v>
      </c>
    </row>
    <row r="43" spans="1:15" x14ac:dyDescent="0.3">
      <c r="A43" t="s">
        <v>83</v>
      </c>
      <c r="B43" s="3">
        <v>45673</v>
      </c>
      <c r="C43" t="s">
        <v>16</v>
      </c>
      <c r="D43" t="s">
        <v>49</v>
      </c>
      <c r="E43" t="s">
        <v>18</v>
      </c>
      <c r="F43" t="s">
        <v>19</v>
      </c>
      <c r="G43" t="s">
        <v>20</v>
      </c>
      <c r="H43" t="s">
        <v>34</v>
      </c>
      <c r="I43">
        <v>17</v>
      </c>
      <c r="J43" s="6">
        <v>536.82000000000005</v>
      </c>
      <c r="K43" s="6">
        <v>9125.94</v>
      </c>
      <c r="L43" t="s">
        <v>22</v>
      </c>
      <c r="M43" t="s">
        <v>22</v>
      </c>
      <c r="N43" s="3">
        <v>46203</v>
      </c>
      <c r="O43" s="6">
        <v>9125.94</v>
      </c>
    </row>
    <row r="44" spans="1:15" x14ac:dyDescent="0.3">
      <c r="A44" t="s">
        <v>84</v>
      </c>
      <c r="B44" s="3">
        <v>45674</v>
      </c>
      <c r="C44" t="s">
        <v>16</v>
      </c>
      <c r="D44" t="s">
        <v>24</v>
      </c>
      <c r="E44" t="s">
        <v>50</v>
      </c>
      <c r="F44" t="s">
        <v>51</v>
      </c>
      <c r="G44" t="s">
        <v>39</v>
      </c>
      <c r="H44" t="s">
        <v>40</v>
      </c>
      <c r="I44">
        <v>17</v>
      </c>
      <c r="J44" s="6">
        <v>837.29</v>
      </c>
      <c r="K44" s="6">
        <v>14233.93</v>
      </c>
      <c r="L44" t="s">
        <v>22</v>
      </c>
      <c r="M44" t="s">
        <v>22</v>
      </c>
      <c r="N44" s="3">
        <v>46203</v>
      </c>
      <c r="O44" s="6">
        <v>14233.93</v>
      </c>
    </row>
    <row r="45" spans="1:15" x14ac:dyDescent="0.3">
      <c r="A45" t="s">
        <v>85</v>
      </c>
      <c r="B45" s="3">
        <v>45674</v>
      </c>
      <c r="C45" t="s">
        <v>16</v>
      </c>
      <c r="D45" t="s">
        <v>49</v>
      </c>
      <c r="E45" t="s">
        <v>18</v>
      </c>
      <c r="F45" t="s">
        <v>51</v>
      </c>
      <c r="G45" t="s">
        <v>39</v>
      </c>
      <c r="H45" t="s">
        <v>21</v>
      </c>
      <c r="I45">
        <v>17</v>
      </c>
      <c r="J45" s="6">
        <v>460.74</v>
      </c>
      <c r="K45" s="6">
        <v>7832.58</v>
      </c>
      <c r="L45" t="s">
        <v>22</v>
      </c>
      <c r="M45" t="s">
        <v>22</v>
      </c>
      <c r="N45" s="3">
        <v>46203</v>
      </c>
      <c r="O45" s="6">
        <v>7832.58</v>
      </c>
    </row>
    <row r="46" spans="1:15" x14ac:dyDescent="0.3">
      <c r="A46" t="s">
        <v>86</v>
      </c>
      <c r="B46" s="3">
        <v>45674</v>
      </c>
      <c r="C46" t="s">
        <v>16</v>
      </c>
      <c r="D46" t="s">
        <v>49</v>
      </c>
      <c r="E46" t="s">
        <v>50</v>
      </c>
      <c r="F46" t="s">
        <v>29</v>
      </c>
      <c r="G46" t="s">
        <v>39</v>
      </c>
      <c r="H46" t="s">
        <v>34</v>
      </c>
      <c r="I46">
        <v>17</v>
      </c>
      <c r="J46" s="6">
        <v>535.29</v>
      </c>
      <c r="K46" s="6">
        <v>9099.93</v>
      </c>
      <c r="L46" t="s">
        <v>22</v>
      </c>
      <c r="M46" t="s">
        <v>22</v>
      </c>
      <c r="N46" s="3">
        <v>46203</v>
      </c>
      <c r="O46" s="6">
        <v>9099.93</v>
      </c>
    </row>
    <row r="47" spans="1:15" x14ac:dyDescent="0.3">
      <c r="A47" t="s">
        <v>87</v>
      </c>
      <c r="B47" s="3">
        <v>45675</v>
      </c>
      <c r="C47" t="s">
        <v>16</v>
      </c>
      <c r="D47" t="s">
        <v>17</v>
      </c>
      <c r="E47" t="s">
        <v>50</v>
      </c>
      <c r="F47" t="s">
        <v>38</v>
      </c>
      <c r="G47" t="s">
        <v>39</v>
      </c>
      <c r="H47" t="s">
        <v>40</v>
      </c>
      <c r="I47">
        <v>17</v>
      </c>
      <c r="J47" s="6">
        <v>1403.96</v>
      </c>
      <c r="K47" s="6">
        <v>23867.32</v>
      </c>
      <c r="L47" t="s">
        <v>22</v>
      </c>
      <c r="M47" t="s">
        <v>22</v>
      </c>
      <c r="N47" s="3">
        <v>46203</v>
      </c>
      <c r="O47" s="6">
        <v>23867.32</v>
      </c>
    </row>
    <row r="48" spans="1:15" x14ac:dyDescent="0.3">
      <c r="A48" t="s">
        <v>88</v>
      </c>
      <c r="B48" s="3">
        <v>45676</v>
      </c>
      <c r="C48" t="s">
        <v>16</v>
      </c>
      <c r="D48" t="s">
        <v>24</v>
      </c>
      <c r="E48" t="s">
        <v>18</v>
      </c>
      <c r="F48" t="s">
        <v>19</v>
      </c>
      <c r="G48" t="s">
        <v>20</v>
      </c>
      <c r="H48" t="s">
        <v>34</v>
      </c>
      <c r="I48">
        <v>17</v>
      </c>
      <c r="J48" s="6">
        <v>939.82</v>
      </c>
      <c r="K48" s="6">
        <v>15976.94</v>
      </c>
      <c r="L48" t="s">
        <v>22</v>
      </c>
      <c r="M48" t="s">
        <v>22</v>
      </c>
      <c r="N48" s="3">
        <v>46203</v>
      </c>
      <c r="O48" s="6">
        <v>15976.94</v>
      </c>
    </row>
    <row r="49" spans="1:15" x14ac:dyDescent="0.3">
      <c r="A49" t="s">
        <v>89</v>
      </c>
      <c r="B49" s="3">
        <v>45676</v>
      </c>
      <c r="C49" t="s">
        <v>16</v>
      </c>
      <c r="D49" t="s">
        <v>49</v>
      </c>
      <c r="E49" t="s">
        <v>25</v>
      </c>
      <c r="F49" t="s">
        <v>33</v>
      </c>
      <c r="G49" t="s">
        <v>39</v>
      </c>
      <c r="H49" t="s">
        <v>34</v>
      </c>
      <c r="I49">
        <v>17</v>
      </c>
      <c r="J49" s="6">
        <v>495</v>
      </c>
      <c r="K49" s="6">
        <v>8415</v>
      </c>
      <c r="L49" t="s">
        <v>22</v>
      </c>
      <c r="M49" t="s">
        <v>22</v>
      </c>
      <c r="N49" s="3">
        <v>46203</v>
      </c>
      <c r="O49" s="6">
        <v>8415</v>
      </c>
    </row>
    <row r="50" spans="1:15" x14ac:dyDescent="0.3">
      <c r="A50" t="s">
        <v>90</v>
      </c>
      <c r="B50" s="3">
        <v>45676</v>
      </c>
      <c r="C50" t="s">
        <v>16</v>
      </c>
      <c r="D50" t="s">
        <v>17</v>
      </c>
      <c r="E50" t="s">
        <v>25</v>
      </c>
      <c r="F50" t="s">
        <v>38</v>
      </c>
      <c r="G50" t="s">
        <v>39</v>
      </c>
      <c r="H50" t="s">
        <v>21</v>
      </c>
      <c r="I50">
        <v>17</v>
      </c>
      <c r="J50" s="6">
        <v>1374.07</v>
      </c>
      <c r="K50" s="6">
        <v>23359.19</v>
      </c>
      <c r="L50" t="s">
        <v>22</v>
      </c>
      <c r="M50" t="s">
        <v>22</v>
      </c>
      <c r="N50" s="3">
        <v>46203</v>
      </c>
      <c r="O50" s="6">
        <v>23359.19</v>
      </c>
    </row>
    <row r="51" spans="1:15" x14ac:dyDescent="0.3">
      <c r="A51" t="s">
        <v>91</v>
      </c>
      <c r="B51" s="3">
        <v>45677</v>
      </c>
      <c r="C51" t="s">
        <v>16</v>
      </c>
      <c r="D51" t="s">
        <v>24</v>
      </c>
      <c r="E51" t="s">
        <v>50</v>
      </c>
      <c r="F51" t="s">
        <v>19</v>
      </c>
      <c r="G51" t="s">
        <v>39</v>
      </c>
      <c r="H51" t="s">
        <v>21</v>
      </c>
      <c r="I51">
        <v>17</v>
      </c>
      <c r="J51" s="6">
        <v>858.67</v>
      </c>
      <c r="K51" s="6">
        <v>14597.39</v>
      </c>
      <c r="L51" t="s">
        <v>22</v>
      </c>
      <c r="M51" t="s">
        <v>22</v>
      </c>
      <c r="N51" s="3">
        <v>46203</v>
      </c>
      <c r="O51" s="6">
        <v>14597.39</v>
      </c>
    </row>
    <row r="52" spans="1:15" x14ac:dyDescent="0.3">
      <c r="A52" t="s">
        <v>92</v>
      </c>
      <c r="B52" s="3">
        <v>45677</v>
      </c>
      <c r="C52" t="s">
        <v>16</v>
      </c>
      <c r="D52" t="s">
        <v>17</v>
      </c>
      <c r="E52" t="s">
        <v>25</v>
      </c>
      <c r="F52" t="s">
        <v>33</v>
      </c>
      <c r="G52" t="s">
        <v>20</v>
      </c>
      <c r="H52" t="s">
        <v>21</v>
      </c>
      <c r="I52">
        <v>17</v>
      </c>
      <c r="J52" s="6">
        <v>1395.72</v>
      </c>
      <c r="K52" s="6">
        <v>23727.24</v>
      </c>
      <c r="L52" t="s">
        <v>22</v>
      </c>
      <c r="M52" t="s">
        <v>22</v>
      </c>
      <c r="N52" s="3">
        <v>46203</v>
      </c>
      <c r="O52" s="6">
        <v>23727.24</v>
      </c>
    </row>
    <row r="53" spans="1:15" x14ac:dyDescent="0.3">
      <c r="A53" t="s">
        <v>93</v>
      </c>
      <c r="B53" s="3">
        <v>45677</v>
      </c>
      <c r="C53" t="s">
        <v>16</v>
      </c>
      <c r="D53" t="s">
        <v>49</v>
      </c>
      <c r="E53" t="s">
        <v>25</v>
      </c>
      <c r="F53" t="s">
        <v>51</v>
      </c>
      <c r="G53" t="s">
        <v>39</v>
      </c>
      <c r="H53" t="s">
        <v>45</v>
      </c>
      <c r="I53">
        <v>17</v>
      </c>
      <c r="J53" s="6">
        <v>487.85</v>
      </c>
      <c r="K53" s="6">
        <v>8293.4500000000007</v>
      </c>
      <c r="L53" t="s">
        <v>22</v>
      </c>
      <c r="M53" t="s">
        <v>22</v>
      </c>
      <c r="N53" s="3">
        <v>46203</v>
      </c>
      <c r="O53" s="6">
        <v>8293.4500000000007</v>
      </c>
    </row>
    <row r="54" spans="1:15" x14ac:dyDescent="0.3">
      <c r="A54" t="s">
        <v>94</v>
      </c>
      <c r="B54" s="3">
        <v>45678</v>
      </c>
      <c r="C54" t="s">
        <v>16</v>
      </c>
      <c r="D54" t="s">
        <v>24</v>
      </c>
      <c r="E54" t="s">
        <v>18</v>
      </c>
      <c r="F54" t="s">
        <v>51</v>
      </c>
      <c r="G54" t="s">
        <v>20</v>
      </c>
      <c r="H54" t="s">
        <v>21</v>
      </c>
      <c r="I54">
        <v>7</v>
      </c>
      <c r="J54" s="6">
        <v>810.11</v>
      </c>
      <c r="K54" s="6">
        <v>5670.77</v>
      </c>
      <c r="L54" t="s">
        <v>30</v>
      </c>
      <c r="M54" t="s">
        <v>36</v>
      </c>
      <c r="N54" s="3">
        <v>45891</v>
      </c>
      <c r="O54" s="6">
        <v>5670.77</v>
      </c>
    </row>
    <row r="55" spans="1:15" x14ac:dyDescent="0.3">
      <c r="A55" t="s">
        <v>95</v>
      </c>
      <c r="B55" s="3">
        <v>45678</v>
      </c>
      <c r="C55" t="s">
        <v>16</v>
      </c>
      <c r="D55" t="s">
        <v>24</v>
      </c>
      <c r="E55" t="s">
        <v>28</v>
      </c>
      <c r="F55" t="s">
        <v>19</v>
      </c>
      <c r="G55" t="s">
        <v>39</v>
      </c>
      <c r="H55" t="s">
        <v>21</v>
      </c>
      <c r="I55">
        <v>1</v>
      </c>
      <c r="J55" s="6">
        <v>978.61</v>
      </c>
      <c r="K55" s="6">
        <v>978.61</v>
      </c>
      <c r="L55" t="s">
        <v>30</v>
      </c>
      <c r="M55" t="s">
        <v>31</v>
      </c>
      <c r="N55" s="3">
        <v>45719</v>
      </c>
      <c r="O55" s="6">
        <v>978.61</v>
      </c>
    </row>
    <row r="56" spans="1:15" x14ac:dyDescent="0.3">
      <c r="A56" t="s">
        <v>96</v>
      </c>
      <c r="B56" s="3">
        <v>45679</v>
      </c>
      <c r="C56" t="s">
        <v>16</v>
      </c>
      <c r="D56" t="s">
        <v>49</v>
      </c>
      <c r="E56" t="s">
        <v>18</v>
      </c>
      <c r="F56" t="s">
        <v>38</v>
      </c>
      <c r="G56" t="s">
        <v>20</v>
      </c>
      <c r="H56" t="s">
        <v>40</v>
      </c>
      <c r="I56">
        <v>17</v>
      </c>
      <c r="J56" s="6">
        <v>467.34</v>
      </c>
      <c r="K56" s="6">
        <v>7944.78</v>
      </c>
      <c r="L56" t="s">
        <v>22</v>
      </c>
      <c r="M56" t="s">
        <v>22</v>
      </c>
      <c r="N56" s="3">
        <v>46203</v>
      </c>
      <c r="O56" s="6">
        <v>7944.78</v>
      </c>
    </row>
    <row r="57" spans="1:15" x14ac:dyDescent="0.3">
      <c r="A57" t="s">
        <v>97</v>
      </c>
      <c r="B57" s="3">
        <v>45680</v>
      </c>
      <c r="C57" t="s">
        <v>16</v>
      </c>
      <c r="D57" t="s">
        <v>49</v>
      </c>
      <c r="E57" t="s">
        <v>25</v>
      </c>
      <c r="F57" t="s">
        <v>29</v>
      </c>
      <c r="G57" t="s">
        <v>39</v>
      </c>
      <c r="H57" t="s">
        <v>21</v>
      </c>
      <c r="I57">
        <v>5</v>
      </c>
      <c r="J57" s="6">
        <v>535.24</v>
      </c>
      <c r="K57" s="6">
        <v>2676.2</v>
      </c>
      <c r="L57" t="s">
        <v>30</v>
      </c>
      <c r="M57" t="s">
        <v>31</v>
      </c>
      <c r="N57" s="3">
        <v>45827</v>
      </c>
      <c r="O57" s="6">
        <v>2676.2</v>
      </c>
    </row>
    <row r="58" spans="1:15" x14ac:dyDescent="0.3">
      <c r="A58" t="s">
        <v>98</v>
      </c>
      <c r="B58" s="3">
        <v>45681</v>
      </c>
      <c r="C58" t="s">
        <v>16</v>
      </c>
      <c r="D58" t="s">
        <v>24</v>
      </c>
      <c r="E58" t="s">
        <v>25</v>
      </c>
      <c r="F58" t="s">
        <v>29</v>
      </c>
      <c r="G58" t="s">
        <v>20</v>
      </c>
      <c r="H58" t="s">
        <v>21</v>
      </c>
      <c r="I58">
        <v>17</v>
      </c>
      <c r="J58" s="6">
        <v>939.26</v>
      </c>
      <c r="K58" s="6">
        <v>15967.42</v>
      </c>
      <c r="L58" t="s">
        <v>22</v>
      </c>
      <c r="M58" t="s">
        <v>22</v>
      </c>
      <c r="N58" s="3">
        <v>46203</v>
      </c>
      <c r="O58" s="6">
        <v>15967.42</v>
      </c>
    </row>
    <row r="59" spans="1:15" x14ac:dyDescent="0.3">
      <c r="A59" t="s">
        <v>99</v>
      </c>
      <c r="B59" s="3">
        <v>45681</v>
      </c>
      <c r="C59" t="s">
        <v>16</v>
      </c>
      <c r="D59" t="s">
        <v>49</v>
      </c>
      <c r="E59" t="s">
        <v>28</v>
      </c>
      <c r="F59" t="s">
        <v>19</v>
      </c>
      <c r="G59" t="s">
        <v>20</v>
      </c>
      <c r="H59" t="s">
        <v>21</v>
      </c>
      <c r="I59">
        <v>9</v>
      </c>
      <c r="J59" s="6">
        <v>524.16999999999996</v>
      </c>
      <c r="K59" s="6">
        <v>4717.53</v>
      </c>
      <c r="L59" t="s">
        <v>30</v>
      </c>
      <c r="M59" t="s">
        <v>80</v>
      </c>
      <c r="N59" s="3">
        <v>45964</v>
      </c>
      <c r="O59" s="6">
        <v>4717.53</v>
      </c>
    </row>
    <row r="60" spans="1:15" x14ac:dyDescent="0.3">
      <c r="A60" t="s">
        <v>100</v>
      </c>
      <c r="B60" s="3">
        <v>45682</v>
      </c>
      <c r="C60" t="s">
        <v>16</v>
      </c>
      <c r="D60" t="s">
        <v>17</v>
      </c>
      <c r="E60" t="s">
        <v>25</v>
      </c>
      <c r="F60" t="s">
        <v>33</v>
      </c>
      <c r="G60" t="s">
        <v>39</v>
      </c>
      <c r="H60" t="s">
        <v>40</v>
      </c>
      <c r="I60">
        <v>17</v>
      </c>
      <c r="J60" s="6">
        <v>1595.92</v>
      </c>
      <c r="K60" s="6">
        <v>27130.639999999999</v>
      </c>
      <c r="L60" t="s">
        <v>30</v>
      </c>
      <c r="M60" t="s">
        <v>41</v>
      </c>
      <c r="N60" s="3">
        <v>46186</v>
      </c>
      <c r="O60" s="6">
        <v>27130.639999999999</v>
      </c>
    </row>
    <row r="61" spans="1:15" x14ac:dyDescent="0.3">
      <c r="A61" t="s">
        <v>101</v>
      </c>
      <c r="B61" s="3">
        <v>45682</v>
      </c>
      <c r="C61" t="s">
        <v>16</v>
      </c>
      <c r="D61" t="s">
        <v>24</v>
      </c>
      <c r="E61" t="s">
        <v>25</v>
      </c>
      <c r="F61" t="s">
        <v>33</v>
      </c>
      <c r="G61" t="s">
        <v>26</v>
      </c>
      <c r="H61" t="s">
        <v>21</v>
      </c>
      <c r="I61">
        <v>17</v>
      </c>
      <c r="J61" s="6">
        <v>855.95</v>
      </c>
      <c r="K61" s="6">
        <v>14551.15</v>
      </c>
      <c r="L61" t="s">
        <v>22</v>
      </c>
      <c r="M61" t="s">
        <v>22</v>
      </c>
      <c r="N61" s="3">
        <v>46203</v>
      </c>
      <c r="O61" s="6">
        <v>14551.15</v>
      </c>
    </row>
    <row r="62" spans="1:15" x14ac:dyDescent="0.3">
      <c r="A62" t="s">
        <v>102</v>
      </c>
      <c r="B62" s="3">
        <v>45682</v>
      </c>
      <c r="C62" t="s">
        <v>16</v>
      </c>
      <c r="D62" t="s">
        <v>49</v>
      </c>
      <c r="E62" t="s">
        <v>28</v>
      </c>
      <c r="F62" t="s">
        <v>19</v>
      </c>
      <c r="G62" t="s">
        <v>39</v>
      </c>
      <c r="H62" t="s">
        <v>21</v>
      </c>
      <c r="I62">
        <v>7</v>
      </c>
      <c r="J62" s="6">
        <v>504.05</v>
      </c>
      <c r="K62" s="6">
        <v>3528.35</v>
      </c>
      <c r="L62" t="s">
        <v>30</v>
      </c>
      <c r="M62" t="s">
        <v>31</v>
      </c>
      <c r="N62" s="3">
        <v>45891</v>
      </c>
      <c r="O62" s="6">
        <v>3528.35</v>
      </c>
    </row>
    <row r="63" spans="1:15" x14ac:dyDescent="0.3">
      <c r="A63" t="s">
        <v>103</v>
      </c>
      <c r="B63" s="3">
        <v>45683</v>
      </c>
      <c r="C63" t="s">
        <v>16</v>
      </c>
      <c r="D63" t="s">
        <v>24</v>
      </c>
      <c r="E63" t="s">
        <v>25</v>
      </c>
      <c r="F63" t="s">
        <v>19</v>
      </c>
      <c r="G63" t="s">
        <v>39</v>
      </c>
      <c r="H63" t="s">
        <v>34</v>
      </c>
      <c r="I63">
        <v>17</v>
      </c>
      <c r="J63" s="6">
        <v>909.22</v>
      </c>
      <c r="K63" s="6">
        <v>15456.74</v>
      </c>
      <c r="L63" t="s">
        <v>22</v>
      </c>
      <c r="M63" t="s">
        <v>22</v>
      </c>
      <c r="N63" s="3">
        <v>46203</v>
      </c>
      <c r="O63" s="6">
        <v>15456.74</v>
      </c>
    </row>
    <row r="64" spans="1:15" x14ac:dyDescent="0.3">
      <c r="A64" t="s">
        <v>104</v>
      </c>
      <c r="B64" s="3">
        <v>45684</v>
      </c>
      <c r="C64" t="s">
        <v>16</v>
      </c>
      <c r="D64" t="s">
        <v>24</v>
      </c>
      <c r="E64" t="s">
        <v>28</v>
      </c>
      <c r="F64" t="s">
        <v>51</v>
      </c>
      <c r="G64" t="s">
        <v>39</v>
      </c>
      <c r="H64" t="s">
        <v>40</v>
      </c>
      <c r="I64">
        <v>2</v>
      </c>
      <c r="J64" s="6">
        <v>809.81</v>
      </c>
      <c r="K64" s="6">
        <v>1619.62</v>
      </c>
      <c r="L64" t="s">
        <v>30</v>
      </c>
      <c r="M64" t="s">
        <v>43</v>
      </c>
      <c r="N64" s="3">
        <v>45742</v>
      </c>
      <c r="O64" s="6">
        <v>1619.62</v>
      </c>
    </row>
    <row r="65" spans="1:15" x14ac:dyDescent="0.3">
      <c r="A65" t="s">
        <v>105</v>
      </c>
      <c r="B65" s="3">
        <v>45685</v>
      </c>
      <c r="C65" t="s">
        <v>16</v>
      </c>
      <c r="D65" t="s">
        <v>24</v>
      </c>
      <c r="E65" t="s">
        <v>28</v>
      </c>
      <c r="F65" t="s">
        <v>19</v>
      </c>
      <c r="G65" t="s">
        <v>20</v>
      </c>
      <c r="H65" t="s">
        <v>40</v>
      </c>
      <c r="I65">
        <v>17</v>
      </c>
      <c r="J65" s="6">
        <v>844</v>
      </c>
      <c r="K65" s="6">
        <v>14348</v>
      </c>
      <c r="L65" t="s">
        <v>22</v>
      </c>
      <c r="M65" t="s">
        <v>22</v>
      </c>
      <c r="N65" s="3">
        <v>46203</v>
      </c>
      <c r="O65" s="6">
        <v>14348</v>
      </c>
    </row>
    <row r="66" spans="1:15" x14ac:dyDescent="0.3">
      <c r="A66" t="s">
        <v>106</v>
      </c>
      <c r="B66" s="3">
        <v>45686</v>
      </c>
      <c r="C66" t="s">
        <v>16</v>
      </c>
      <c r="D66" t="s">
        <v>24</v>
      </c>
      <c r="E66" t="s">
        <v>25</v>
      </c>
      <c r="F66" t="s">
        <v>19</v>
      </c>
      <c r="G66" t="s">
        <v>20</v>
      </c>
      <c r="H66" t="s">
        <v>34</v>
      </c>
      <c r="I66">
        <v>17</v>
      </c>
      <c r="J66" s="6">
        <v>941.23</v>
      </c>
      <c r="K66" s="6">
        <v>16000.91</v>
      </c>
      <c r="L66" t="s">
        <v>22</v>
      </c>
      <c r="M66" t="s">
        <v>22</v>
      </c>
      <c r="N66" s="3">
        <v>46203</v>
      </c>
      <c r="O66" s="6">
        <v>16000.91</v>
      </c>
    </row>
    <row r="67" spans="1:15" x14ac:dyDescent="0.3">
      <c r="A67" t="s">
        <v>107</v>
      </c>
      <c r="B67" s="3">
        <v>45686</v>
      </c>
      <c r="C67" t="s">
        <v>16</v>
      </c>
      <c r="D67" t="s">
        <v>24</v>
      </c>
      <c r="E67" t="s">
        <v>25</v>
      </c>
      <c r="F67" t="s">
        <v>19</v>
      </c>
      <c r="G67" t="s">
        <v>20</v>
      </c>
      <c r="H67" t="s">
        <v>21</v>
      </c>
      <c r="I67">
        <v>17</v>
      </c>
      <c r="J67" s="6">
        <v>957.66</v>
      </c>
      <c r="K67" s="6">
        <v>16280.22</v>
      </c>
      <c r="L67" t="s">
        <v>22</v>
      </c>
      <c r="M67" t="s">
        <v>22</v>
      </c>
      <c r="N67" s="3">
        <v>46203</v>
      </c>
      <c r="O67" s="6">
        <v>16280.22</v>
      </c>
    </row>
    <row r="68" spans="1:15" x14ac:dyDescent="0.3">
      <c r="A68" t="s">
        <v>108</v>
      </c>
      <c r="B68" s="3">
        <v>45687</v>
      </c>
      <c r="C68" t="s">
        <v>16</v>
      </c>
      <c r="D68" t="s">
        <v>17</v>
      </c>
      <c r="E68" t="s">
        <v>25</v>
      </c>
      <c r="F68" t="s">
        <v>29</v>
      </c>
      <c r="G68" t="s">
        <v>39</v>
      </c>
      <c r="H68" t="s">
        <v>40</v>
      </c>
      <c r="I68">
        <v>14</v>
      </c>
      <c r="J68" s="6">
        <v>1545.65</v>
      </c>
      <c r="K68" s="6">
        <v>21639.1</v>
      </c>
      <c r="L68" t="s">
        <v>30</v>
      </c>
      <c r="M68" t="s">
        <v>80</v>
      </c>
      <c r="N68" s="3">
        <v>46116</v>
      </c>
      <c r="O68" s="6">
        <v>21639.1</v>
      </c>
    </row>
    <row r="69" spans="1:15" x14ac:dyDescent="0.3">
      <c r="A69" t="s">
        <v>109</v>
      </c>
      <c r="B69" s="3">
        <v>45688</v>
      </c>
      <c r="C69" t="s">
        <v>16</v>
      </c>
      <c r="D69" t="s">
        <v>24</v>
      </c>
      <c r="E69" t="s">
        <v>28</v>
      </c>
      <c r="F69" t="s">
        <v>38</v>
      </c>
      <c r="G69" t="s">
        <v>20</v>
      </c>
      <c r="H69" t="s">
        <v>21</v>
      </c>
      <c r="I69">
        <v>6</v>
      </c>
      <c r="J69" s="6">
        <v>821.26</v>
      </c>
      <c r="K69" s="6">
        <v>4927.5600000000004</v>
      </c>
      <c r="L69" t="s">
        <v>30</v>
      </c>
      <c r="M69" t="s">
        <v>36</v>
      </c>
      <c r="N69" s="3">
        <v>45864</v>
      </c>
      <c r="O69" s="6">
        <v>4927.5600000000004</v>
      </c>
    </row>
    <row r="70" spans="1:15" x14ac:dyDescent="0.3">
      <c r="A70" t="s">
        <v>110</v>
      </c>
      <c r="B70" s="3">
        <v>45688</v>
      </c>
      <c r="C70" t="s">
        <v>16</v>
      </c>
      <c r="D70" t="s">
        <v>17</v>
      </c>
      <c r="E70" t="s">
        <v>28</v>
      </c>
      <c r="F70" t="s">
        <v>33</v>
      </c>
      <c r="G70" t="s">
        <v>26</v>
      </c>
      <c r="H70" t="s">
        <v>40</v>
      </c>
      <c r="I70">
        <v>17</v>
      </c>
      <c r="J70" s="6">
        <v>1375.37</v>
      </c>
      <c r="K70" s="6">
        <v>23381.29</v>
      </c>
      <c r="L70" t="s">
        <v>22</v>
      </c>
      <c r="M70" t="s">
        <v>22</v>
      </c>
      <c r="N70" s="3">
        <v>46203</v>
      </c>
      <c r="O70" s="6">
        <v>23381.29</v>
      </c>
    </row>
    <row r="71" spans="1:15" x14ac:dyDescent="0.3">
      <c r="A71" t="s">
        <v>111</v>
      </c>
      <c r="B71" s="3">
        <v>45688</v>
      </c>
      <c r="C71" t="s">
        <v>16</v>
      </c>
      <c r="D71" t="s">
        <v>49</v>
      </c>
      <c r="E71" t="s">
        <v>28</v>
      </c>
      <c r="F71" t="s">
        <v>19</v>
      </c>
      <c r="G71" t="s">
        <v>39</v>
      </c>
      <c r="H71" t="s">
        <v>34</v>
      </c>
      <c r="I71">
        <v>12</v>
      </c>
      <c r="J71" s="6">
        <v>548.15</v>
      </c>
      <c r="K71" s="6">
        <v>6577.8</v>
      </c>
      <c r="L71" t="s">
        <v>30</v>
      </c>
      <c r="M71" t="s">
        <v>31</v>
      </c>
      <c r="N71" s="3">
        <v>46054</v>
      </c>
      <c r="O71" s="6">
        <v>6577.8</v>
      </c>
    </row>
    <row r="72" spans="1:15" x14ac:dyDescent="0.3">
      <c r="A72" t="s">
        <v>112</v>
      </c>
      <c r="B72" s="3">
        <v>45688</v>
      </c>
      <c r="C72" t="s">
        <v>16</v>
      </c>
      <c r="D72" t="s">
        <v>24</v>
      </c>
      <c r="E72" t="s">
        <v>18</v>
      </c>
      <c r="F72" t="s">
        <v>29</v>
      </c>
      <c r="G72" t="s">
        <v>26</v>
      </c>
      <c r="H72" t="s">
        <v>21</v>
      </c>
      <c r="I72">
        <v>17</v>
      </c>
      <c r="J72" s="6">
        <v>873.68</v>
      </c>
      <c r="K72" s="6">
        <v>14852.56</v>
      </c>
      <c r="L72" t="s">
        <v>22</v>
      </c>
      <c r="M72" t="s">
        <v>22</v>
      </c>
      <c r="N72" s="3">
        <v>46203</v>
      </c>
      <c r="O72" s="6">
        <v>14852.56</v>
      </c>
    </row>
    <row r="73" spans="1:15" x14ac:dyDescent="0.3">
      <c r="A73" t="s">
        <v>113</v>
      </c>
      <c r="B73" s="3">
        <v>45689</v>
      </c>
      <c r="C73" t="s">
        <v>114</v>
      </c>
      <c r="D73" t="s">
        <v>49</v>
      </c>
      <c r="E73" t="s">
        <v>18</v>
      </c>
      <c r="F73" t="s">
        <v>51</v>
      </c>
      <c r="G73" t="s">
        <v>39</v>
      </c>
      <c r="H73" t="s">
        <v>21</v>
      </c>
      <c r="I73">
        <v>17</v>
      </c>
      <c r="J73" s="6">
        <v>465.92</v>
      </c>
      <c r="K73" s="6">
        <v>7920.64</v>
      </c>
      <c r="L73" t="s">
        <v>22</v>
      </c>
      <c r="M73" t="s">
        <v>22</v>
      </c>
      <c r="N73" s="3">
        <v>46203</v>
      </c>
      <c r="O73" s="6">
        <v>7920.64</v>
      </c>
    </row>
    <row r="74" spans="1:15" x14ac:dyDescent="0.3">
      <c r="A74" t="s">
        <v>115</v>
      </c>
      <c r="B74" s="3">
        <v>45689</v>
      </c>
      <c r="C74" t="s">
        <v>114</v>
      </c>
      <c r="D74" t="s">
        <v>49</v>
      </c>
      <c r="E74" t="s">
        <v>25</v>
      </c>
      <c r="F74" t="s">
        <v>29</v>
      </c>
      <c r="G74" t="s">
        <v>39</v>
      </c>
      <c r="H74" t="s">
        <v>21</v>
      </c>
      <c r="I74">
        <v>17</v>
      </c>
      <c r="J74" s="6">
        <v>491.95</v>
      </c>
      <c r="K74" s="6">
        <v>8363.15</v>
      </c>
      <c r="L74" t="s">
        <v>22</v>
      </c>
      <c r="M74" t="s">
        <v>22</v>
      </c>
      <c r="N74" s="3">
        <v>46203</v>
      </c>
      <c r="O74" s="6">
        <v>8363.15</v>
      </c>
    </row>
    <row r="75" spans="1:15" x14ac:dyDescent="0.3">
      <c r="A75" t="s">
        <v>116</v>
      </c>
      <c r="B75" s="3">
        <v>45689</v>
      </c>
      <c r="C75" t="s">
        <v>114</v>
      </c>
      <c r="D75" t="s">
        <v>24</v>
      </c>
      <c r="E75" t="s">
        <v>28</v>
      </c>
      <c r="F75" t="s">
        <v>29</v>
      </c>
      <c r="G75" t="s">
        <v>39</v>
      </c>
      <c r="H75" t="s">
        <v>34</v>
      </c>
      <c r="I75">
        <v>17</v>
      </c>
      <c r="J75" s="6">
        <v>861.44</v>
      </c>
      <c r="K75" s="6">
        <v>14644.48</v>
      </c>
      <c r="L75" t="s">
        <v>22</v>
      </c>
      <c r="M75" t="s">
        <v>22</v>
      </c>
      <c r="N75" s="3">
        <v>46203</v>
      </c>
      <c r="O75" s="6">
        <v>14644.48</v>
      </c>
    </row>
    <row r="76" spans="1:15" x14ac:dyDescent="0.3">
      <c r="A76" t="s">
        <v>117</v>
      </c>
      <c r="B76" s="3">
        <v>45689</v>
      </c>
      <c r="C76" t="s">
        <v>114</v>
      </c>
      <c r="D76" t="s">
        <v>24</v>
      </c>
      <c r="E76" t="s">
        <v>18</v>
      </c>
      <c r="F76" t="s">
        <v>29</v>
      </c>
      <c r="G76" t="s">
        <v>39</v>
      </c>
      <c r="H76" t="s">
        <v>21</v>
      </c>
      <c r="I76">
        <v>17</v>
      </c>
      <c r="J76" s="6">
        <v>935.99</v>
      </c>
      <c r="K76" s="6">
        <v>15911.83</v>
      </c>
      <c r="L76" t="s">
        <v>22</v>
      </c>
      <c r="M76" t="s">
        <v>22</v>
      </c>
      <c r="N76" s="3">
        <v>46203</v>
      </c>
      <c r="O76" s="6">
        <v>15911.83</v>
      </c>
    </row>
    <row r="77" spans="1:15" x14ac:dyDescent="0.3">
      <c r="A77" t="s">
        <v>118</v>
      </c>
      <c r="B77" s="3">
        <v>45690</v>
      </c>
      <c r="C77" t="s">
        <v>114</v>
      </c>
      <c r="D77" t="s">
        <v>24</v>
      </c>
      <c r="E77" t="s">
        <v>18</v>
      </c>
      <c r="F77" t="s">
        <v>33</v>
      </c>
      <c r="G77" t="s">
        <v>39</v>
      </c>
      <c r="H77" t="s">
        <v>21</v>
      </c>
      <c r="I77">
        <v>17</v>
      </c>
      <c r="J77" s="6">
        <v>839.88</v>
      </c>
      <c r="K77" s="6">
        <v>14277.96</v>
      </c>
      <c r="L77" t="s">
        <v>22</v>
      </c>
      <c r="M77" t="s">
        <v>22</v>
      </c>
      <c r="N77" s="3">
        <v>46203</v>
      </c>
      <c r="O77" s="6">
        <v>14277.96</v>
      </c>
    </row>
    <row r="78" spans="1:15" x14ac:dyDescent="0.3">
      <c r="A78" t="s">
        <v>119</v>
      </c>
      <c r="B78" s="3">
        <v>45690</v>
      </c>
      <c r="C78" t="s">
        <v>114</v>
      </c>
      <c r="D78" t="s">
        <v>24</v>
      </c>
      <c r="E78" t="s">
        <v>28</v>
      </c>
      <c r="F78" t="s">
        <v>29</v>
      </c>
      <c r="G78" t="s">
        <v>39</v>
      </c>
      <c r="H78" t="s">
        <v>21</v>
      </c>
      <c r="I78">
        <v>17</v>
      </c>
      <c r="J78" s="6">
        <v>965.32</v>
      </c>
      <c r="K78" s="6">
        <v>16410.439999999999</v>
      </c>
      <c r="L78" t="s">
        <v>22</v>
      </c>
      <c r="M78" t="s">
        <v>22</v>
      </c>
      <c r="N78" s="3">
        <v>46203</v>
      </c>
      <c r="O78" s="6">
        <v>16410.439999999999</v>
      </c>
    </row>
    <row r="79" spans="1:15" x14ac:dyDescent="0.3">
      <c r="A79" t="s">
        <v>120</v>
      </c>
      <c r="B79" s="3">
        <v>45690</v>
      </c>
      <c r="C79" t="s">
        <v>114</v>
      </c>
      <c r="D79" t="s">
        <v>24</v>
      </c>
      <c r="E79" t="s">
        <v>25</v>
      </c>
      <c r="F79" t="s">
        <v>29</v>
      </c>
      <c r="G79" t="s">
        <v>39</v>
      </c>
      <c r="H79" t="s">
        <v>21</v>
      </c>
      <c r="I79">
        <v>17</v>
      </c>
      <c r="J79" s="6">
        <v>865.13</v>
      </c>
      <c r="K79" s="6">
        <v>14707.21</v>
      </c>
      <c r="L79" t="s">
        <v>22</v>
      </c>
      <c r="M79" t="s">
        <v>22</v>
      </c>
      <c r="N79" s="3">
        <v>46203</v>
      </c>
      <c r="O79" s="6">
        <v>14707.21</v>
      </c>
    </row>
    <row r="80" spans="1:15" x14ac:dyDescent="0.3">
      <c r="A80" t="s">
        <v>121</v>
      </c>
      <c r="B80" s="3">
        <v>45690</v>
      </c>
      <c r="C80" t="s">
        <v>114</v>
      </c>
      <c r="D80" t="s">
        <v>17</v>
      </c>
      <c r="E80" t="s">
        <v>28</v>
      </c>
      <c r="F80" t="s">
        <v>19</v>
      </c>
      <c r="G80" t="s">
        <v>39</v>
      </c>
      <c r="H80" t="s">
        <v>45</v>
      </c>
      <c r="I80">
        <v>17</v>
      </c>
      <c r="J80" s="6">
        <v>1362.33</v>
      </c>
      <c r="K80" s="6">
        <v>23159.61</v>
      </c>
      <c r="L80" t="s">
        <v>22</v>
      </c>
      <c r="M80" t="s">
        <v>22</v>
      </c>
      <c r="N80" s="3">
        <v>46203</v>
      </c>
      <c r="O80" s="6">
        <v>23159.61</v>
      </c>
    </row>
    <row r="81" spans="1:15" x14ac:dyDescent="0.3">
      <c r="A81" t="s">
        <v>122</v>
      </c>
      <c r="B81" s="3">
        <v>45691</v>
      </c>
      <c r="C81" t="s">
        <v>114</v>
      </c>
      <c r="D81" t="s">
        <v>24</v>
      </c>
      <c r="E81" t="s">
        <v>28</v>
      </c>
      <c r="F81" t="s">
        <v>19</v>
      </c>
      <c r="G81" t="s">
        <v>39</v>
      </c>
      <c r="H81" t="s">
        <v>40</v>
      </c>
      <c r="I81">
        <v>17</v>
      </c>
      <c r="J81" s="6">
        <v>902.38</v>
      </c>
      <c r="K81" s="6">
        <v>15340.46</v>
      </c>
      <c r="L81" t="s">
        <v>22</v>
      </c>
      <c r="M81" t="s">
        <v>22</v>
      </c>
      <c r="N81" s="3">
        <v>46203</v>
      </c>
      <c r="O81" s="6">
        <v>15340.46</v>
      </c>
    </row>
    <row r="82" spans="1:15" x14ac:dyDescent="0.3">
      <c r="A82" t="s">
        <v>123</v>
      </c>
      <c r="B82" s="3">
        <v>45691</v>
      </c>
      <c r="C82" t="s">
        <v>114</v>
      </c>
      <c r="D82" t="s">
        <v>24</v>
      </c>
      <c r="E82" t="s">
        <v>50</v>
      </c>
      <c r="F82" t="s">
        <v>33</v>
      </c>
      <c r="G82" t="s">
        <v>39</v>
      </c>
      <c r="H82" t="s">
        <v>34</v>
      </c>
      <c r="I82">
        <v>10</v>
      </c>
      <c r="J82" s="6">
        <v>847.19</v>
      </c>
      <c r="K82" s="6">
        <v>8471.9</v>
      </c>
      <c r="L82" t="s">
        <v>30</v>
      </c>
      <c r="M82" t="s">
        <v>80</v>
      </c>
      <c r="N82" s="3">
        <v>45984</v>
      </c>
      <c r="O82" s="6">
        <v>8471.9</v>
      </c>
    </row>
    <row r="83" spans="1:15" x14ac:dyDescent="0.3">
      <c r="A83" t="s">
        <v>124</v>
      </c>
      <c r="B83" s="3">
        <v>45691</v>
      </c>
      <c r="C83" t="s">
        <v>114</v>
      </c>
      <c r="D83" t="s">
        <v>17</v>
      </c>
      <c r="E83" t="s">
        <v>50</v>
      </c>
      <c r="F83" t="s">
        <v>38</v>
      </c>
      <c r="G83" t="s">
        <v>39</v>
      </c>
      <c r="H83" t="s">
        <v>21</v>
      </c>
      <c r="I83">
        <v>17</v>
      </c>
      <c r="J83" s="6">
        <v>1404.35</v>
      </c>
      <c r="K83" s="6">
        <v>23873.95</v>
      </c>
      <c r="L83" t="s">
        <v>22</v>
      </c>
      <c r="M83" t="s">
        <v>22</v>
      </c>
      <c r="N83" s="3">
        <v>46203</v>
      </c>
      <c r="O83" s="6">
        <v>23873.95</v>
      </c>
    </row>
    <row r="84" spans="1:15" x14ac:dyDescent="0.3">
      <c r="A84" t="s">
        <v>125</v>
      </c>
      <c r="B84" s="3">
        <v>45691</v>
      </c>
      <c r="C84" t="s">
        <v>114</v>
      </c>
      <c r="D84" t="s">
        <v>49</v>
      </c>
      <c r="E84" t="s">
        <v>28</v>
      </c>
      <c r="F84" t="s">
        <v>38</v>
      </c>
      <c r="G84" t="s">
        <v>39</v>
      </c>
      <c r="H84" t="s">
        <v>21</v>
      </c>
      <c r="I84">
        <v>17</v>
      </c>
      <c r="J84" s="6">
        <v>491.09</v>
      </c>
      <c r="K84" s="6">
        <v>8348.5300000000007</v>
      </c>
      <c r="L84" t="s">
        <v>22</v>
      </c>
      <c r="M84" t="s">
        <v>22</v>
      </c>
      <c r="N84" s="3">
        <v>46203</v>
      </c>
      <c r="O84" s="6">
        <v>8348.5300000000007</v>
      </c>
    </row>
    <row r="85" spans="1:15" x14ac:dyDescent="0.3">
      <c r="A85" t="s">
        <v>126</v>
      </c>
      <c r="B85" s="3">
        <v>45691</v>
      </c>
      <c r="C85" t="s">
        <v>114</v>
      </c>
      <c r="D85" t="s">
        <v>24</v>
      </c>
      <c r="E85" t="s">
        <v>25</v>
      </c>
      <c r="F85" t="s">
        <v>38</v>
      </c>
      <c r="G85" t="s">
        <v>20</v>
      </c>
      <c r="H85" t="s">
        <v>21</v>
      </c>
      <c r="I85">
        <v>17</v>
      </c>
      <c r="J85" s="6">
        <v>908.79</v>
      </c>
      <c r="K85" s="6">
        <v>15449.43</v>
      </c>
      <c r="L85" t="s">
        <v>22</v>
      </c>
      <c r="M85" t="s">
        <v>22</v>
      </c>
      <c r="N85" s="3">
        <v>46203</v>
      </c>
      <c r="O85" s="6">
        <v>15449.43</v>
      </c>
    </row>
    <row r="86" spans="1:15" x14ac:dyDescent="0.3">
      <c r="A86" t="s">
        <v>127</v>
      </c>
      <c r="B86" s="3">
        <v>45692</v>
      </c>
      <c r="C86" t="s">
        <v>114</v>
      </c>
      <c r="D86" t="s">
        <v>49</v>
      </c>
      <c r="E86" t="s">
        <v>28</v>
      </c>
      <c r="F86" t="s">
        <v>29</v>
      </c>
      <c r="G86" t="s">
        <v>39</v>
      </c>
      <c r="H86" t="s">
        <v>21</v>
      </c>
      <c r="I86">
        <v>17</v>
      </c>
      <c r="J86" s="6">
        <v>468.25</v>
      </c>
      <c r="K86" s="6">
        <v>7960.25</v>
      </c>
      <c r="L86" t="s">
        <v>22</v>
      </c>
      <c r="M86" t="s">
        <v>22</v>
      </c>
      <c r="N86" s="3">
        <v>46203</v>
      </c>
      <c r="O86" s="6">
        <v>7960.25</v>
      </c>
    </row>
    <row r="87" spans="1:15" x14ac:dyDescent="0.3">
      <c r="A87" t="s">
        <v>128</v>
      </c>
      <c r="B87" s="3">
        <v>45692</v>
      </c>
      <c r="C87" t="s">
        <v>114</v>
      </c>
      <c r="D87" t="s">
        <v>24</v>
      </c>
      <c r="E87" t="s">
        <v>50</v>
      </c>
      <c r="F87" t="s">
        <v>29</v>
      </c>
      <c r="G87" t="s">
        <v>39</v>
      </c>
      <c r="H87" t="s">
        <v>21</v>
      </c>
      <c r="I87">
        <v>17</v>
      </c>
      <c r="J87" s="6">
        <v>938.5</v>
      </c>
      <c r="K87" s="6">
        <v>15954.5</v>
      </c>
      <c r="L87" t="s">
        <v>22</v>
      </c>
      <c r="M87" t="s">
        <v>22</v>
      </c>
      <c r="N87" s="3">
        <v>46203</v>
      </c>
      <c r="O87" s="6">
        <v>15954.5</v>
      </c>
    </row>
    <row r="88" spans="1:15" x14ac:dyDescent="0.3">
      <c r="A88" t="s">
        <v>129</v>
      </c>
      <c r="B88" s="3">
        <v>45692</v>
      </c>
      <c r="C88" t="s">
        <v>114</v>
      </c>
      <c r="D88" t="s">
        <v>17</v>
      </c>
      <c r="E88" t="s">
        <v>18</v>
      </c>
      <c r="F88" t="s">
        <v>19</v>
      </c>
      <c r="G88" t="s">
        <v>20</v>
      </c>
      <c r="H88" t="s">
        <v>21</v>
      </c>
      <c r="I88">
        <v>17</v>
      </c>
      <c r="J88" s="6">
        <v>1437.63</v>
      </c>
      <c r="K88" s="6">
        <v>24439.71</v>
      </c>
      <c r="L88" t="s">
        <v>22</v>
      </c>
      <c r="M88" t="s">
        <v>22</v>
      </c>
      <c r="N88" s="3">
        <v>46203</v>
      </c>
      <c r="O88" s="6">
        <v>24439.71</v>
      </c>
    </row>
    <row r="89" spans="1:15" x14ac:dyDescent="0.3">
      <c r="A89" t="s">
        <v>130</v>
      </c>
      <c r="B89" s="3">
        <v>45692</v>
      </c>
      <c r="C89" t="s">
        <v>114</v>
      </c>
      <c r="D89" t="s">
        <v>17</v>
      </c>
      <c r="E89" t="s">
        <v>18</v>
      </c>
      <c r="F89" t="s">
        <v>29</v>
      </c>
      <c r="G89" t="s">
        <v>39</v>
      </c>
      <c r="H89" t="s">
        <v>40</v>
      </c>
      <c r="I89">
        <v>17</v>
      </c>
      <c r="J89" s="6">
        <v>1492.34</v>
      </c>
      <c r="K89" s="6">
        <v>25369.78</v>
      </c>
      <c r="L89" t="s">
        <v>22</v>
      </c>
      <c r="M89" t="s">
        <v>22</v>
      </c>
      <c r="N89" s="3">
        <v>46203</v>
      </c>
      <c r="O89" s="6">
        <v>25369.78</v>
      </c>
    </row>
    <row r="90" spans="1:15" x14ac:dyDescent="0.3">
      <c r="A90" t="s">
        <v>131</v>
      </c>
      <c r="B90" s="3">
        <v>45692</v>
      </c>
      <c r="C90" t="s">
        <v>114</v>
      </c>
      <c r="D90" t="s">
        <v>24</v>
      </c>
      <c r="E90" t="s">
        <v>25</v>
      </c>
      <c r="F90" t="s">
        <v>38</v>
      </c>
      <c r="G90" t="s">
        <v>39</v>
      </c>
      <c r="H90" t="s">
        <v>21</v>
      </c>
      <c r="I90">
        <v>17</v>
      </c>
      <c r="J90" s="6">
        <v>951.2</v>
      </c>
      <c r="K90" s="6">
        <v>16170.4</v>
      </c>
      <c r="L90" t="s">
        <v>22</v>
      </c>
      <c r="M90" t="s">
        <v>22</v>
      </c>
      <c r="N90" s="3">
        <v>46203</v>
      </c>
      <c r="O90" s="6">
        <v>16170.4</v>
      </c>
    </row>
    <row r="91" spans="1:15" x14ac:dyDescent="0.3">
      <c r="A91" t="s">
        <v>132</v>
      </c>
      <c r="B91" s="3">
        <v>45692</v>
      </c>
      <c r="C91" t="s">
        <v>114</v>
      </c>
      <c r="D91" t="s">
        <v>49</v>
      </c>
      <c r="E91" t="s">
        <v>18</v>
      </c>
      <c r="F91" t="s">
        <v>19</v>
      </c>
      <c r="G91" t="s">
        <v>39</v>
      </c>
      <c r="H91" t="s">
        <v>21</v>
      </c>
      <c r="I91">
        <v>17</v>
      </c>
      <c r="J91" s="6">
        <v>508.13</v>
      </c>
      <c r="K91" s="6">
        <v>8638.2099999999991</v>
      </c>
      <c r="L91" t="s">
        <v>22</v>
      </c>
      <c r="M91" t="s">
        <v>22</v>
      </c>
      <c r="N91" s="3">
        <v>46203</v>
      </c>
      <c r="O91" s="6">
        <v>8638.2099999999991</v>
      </c>
    </row>
    <row r="92" spans="1:15" x14ac:dyDescent="0.3">
      <c r="A92" t="s">
        <v>133</v>
      </c>
      <c r="B92" s="3">
        <v>45692</v>
      </c>
      <c r="C92" t="s">
        <v>114</v>
      </c>
      <c r="D92" t="s">
        <v>24</v>
      </c>
      <c r="E92" t="s">
        <v>25</v>
      </c>
      <c r="F92" t="s">
        <v>51</v>
      </c>
      <c r="G92" t="s">
        <v>39</v>
      </c>
      <c r="H92" t="s">
        <v>21</v>
      </c>
      <c r="I92">
        <v>17</v>
      </c>
      <c r="J92" s="6">
        <v>886.07</v>
      </c>
      <c r="K92" s="6">
        <v>15063.19</v>
      </c>
      <c r="L92" t="s">
        <v>22</v>
      </c>
      <c r="M92" t="s">
        <v>22</v>
      </c>
      <c r="N92" s="3">
        <v>46203</v>
      </c>
      <c r="O92" s="6">
        <v>15063.19</v>
      </c>
    </row>
    <row r="93" spans="1:15" x14ac:dyDescent="0.3">
      <c r="A93" t="s">
        <v>134</v>
      </c>
      <c r="B93" s="3">
        <v>45692</v>
      </c>
      <c r="C93" t="s">
        <v>114</v>
      </c>
      <c r="D93" t="s">
        <v>17</v>
      </c>
      <c r="E93" t="s">
        <v>25</v>
      </c>
      <c r="F93" t="s">
        <v>29</v>
      </c>
      <c r="G93" t="s">
        <v>20</v>
      </c>
      <c r="H93" t="s">
        <v>34</v>
      </c>
      <c r="I93">
        <v>1</v>
      </c>
      <c r="J93" s="6">
        <v>1585.27</v>
      </c>
      <c r="K93" s="6">
        <v>1585.27</v>
      </c>
      <c r="L93" t="s">
        <v>30</v>
      </c>
      <c r="M93" t="s">
        <v>80</v>
      </c>
      <c r="N93" s="3">
        <v>45733</v>
      </c>
      <c r="O93" s="6">
        <v>1585.27</v>
      </c>
    </row>
    <row r="94" spans="1:15" x14ac:dyDescent="0.3">
      <c r="A94" t="s">
        <v>135</v>
      </c>
      <c r="B94" s="3">
        <v>45692</v>
      </c>
      <c r="C94" t="s">
        <v>114</v>
      </c>
      <c r="D94" t="s">
        <v>24</v>
      </c>
      <c r="E94" t="s">
        <v>18</v>
      </c>
      <c r="F94" t="s">
        <v>51</v>
      </c>
      <c r="G94" t="s">
        <v>39</v>
      </c>
      <c r="H94" t="s">
        <v>40</v>
      </c>
      <c r="I94">
        <v>17</v>
      </c>
      <c r="J94" s="6">
        <v>987.06</v>
      </c>
      <c r="K94" s="6">
        <v>16780.02</v>
      </c>
      <c r="L94" t="s">
        <v>22</v>
      </c>
      <c r="M94" t="s">
        <v>22</v>
      </c>
      <c r="N94" s="3">
        <v>46203</v>
      </c>
      <c r="O94" s="6">
        <v>16780.02</v>
      </c>
    </row>
    <row r="95" spans="1:15" x14ac:dyDescent="0.3">
      <c r="A95" t="s">
        <v>136</v>
      </c>
      <c r="B95" s="3">
        <v>45693</v>
      </c>
      <c r="C95" t="s">
        <v>114</v>
      </c>
      <c r="D95" t="s">
        <v>49</v>
      </c>
      <c r="E95" t="s">
        <v>28</v>
      </c>
      <c r="F95" t="s">
        <v>51</v>
      </c>
      <c r="G95" t="s">
        <v>20</v>
      </c>
      <c r="H95" t="s">
        <v>40</v>
      </c>
      <c r="I95">
        <v>17</v>
      </c>
      <c r="J95" s="6">
        <v>548.58000000000004</v>
      </c>
      <c r="K95" s="6">
        <v>9325.86</v>
      </c>
      <c r="L95" t="s">
        <v>22</v>
      </c>
      <c r="M95" t="s">
        <v>22</v>
      </c>
      <c r="N95" s="3">
        <v>46203</v>
      </c>
      <c r="O95" s="6">
        <v>9325.86</v>
      </c>
    </row>
    <row r="96" spans="1:15" x14ac:dyDescent="0.3">
      <c r="A96" t="s">
        <v>137</v>
      </c>
      <c r="B96" s="3">
        <v>45693</v>
      </c>
      <c r="C96" t="s">
        <v>114</v>
      </c>
      <c r="D96" t="s">
        <v>49</v>
      </c>
      <c r="E96" t="s">
        <v>25</v>
      </c>
      <c r="F96" t="s">
        <v>29</v>
      </c>
      <c r="G96" t="s">
        <v>39</v>
      </c>
      <c r="H96" t="s">
        <v>40</v>
      </c>
      <c r="I96">
        <v>12</v>
      </c>
      <c r="J96" s="6">
        <v>505.85</v>
      </c>
      <c r="K96" s="6">
        <v>6070.2</v>
      </c>
      <c r="L96" t="s">
        <v>30</v>
      </c>
      <c r="M96" t="s">
        <v>36</v>
      </c>
      <c r="N96" s="3">
        <v>46057</v>
      </c>
      <c r="O96" s="6">
        <v>6070.2</v>
      </c>
    </row>
    <row r="97" spans="1:15" x14ac:dyDescent="0.3">
      <c r="A97" t="s">
        <v>138</v>
      </c>
      <c r="B97" s="3">
        <v>45694</v>
      </c>
      <c r="C97" t="s">
        <v>114</v>
      </c>
      <c r="D97" t="s">
        <v>24</v>
      </c>
      <c r="E97" t="s">
        <v>25</v>
      </c>
      <c r="F97" t="s">
        <v>29</v>
      </c>
      <c r="G97" t="s">
        <v>39</v>
      </c>
      <c r="H97" t="s">
        <v>21</v>
      </c>
      <c r="I97">
        <v>17</v>
      </c>
      <c r="J97" s="6">
        <v>852.52</v>
      </c>
      <c r="K97" s="6">
        <v>14492.84</v>
      </c>
      <c r="L97" t="s">
        <v>22</v>
      </c>
      <c r="M97" t="s">
        <v>22</v>
      </c>
      <c r="N97" s="3">
        <v>46203</v>
      </c>
      <c r="O97" s="6">
        <v>14492.84</v>
      </c>
    </row>
    <row r="98" spans="1:15" x14ac:dyDescent="0.3">
      <c r="A98" t="s">
        <v>139</v>
      </c>
      <c r="B98" s="3">
        <v>45694</v>
      </c>
      <c r="C98" t="s">
        <v>114</v>
      </c>
      <c r="D98" t="s">
        <v>17</v>
      </c>
      <c r="E98" t="s">
        <v>28</v>
      </c>
      <c r="F98" t="s">
        <v>33</v>
      </c>
      <c r="G98" t="s">
        <v>39</v>
      </c>
      <c r="H98" t="s">
        <v>40</v>
      </c>
      <c r="I98">
        <v>17</v>
      </c>
      <c r="J98" s="6">
        <v>1390.07</v>
      </c>
      <c r="K98" s="6">
        <v>23631.19</v>
      </c>
      <c r="L98" t="s">
        <v>22</v>
      </c>
      <c r="M98" t="s">
        <v>22</v>
      </c>
      <c r="N98" s="3">
        <v>46203</v>
      </c>
      <c r="O98" s="6">
        <v>23631.19</v>
      </c>
    </row>
    <row r="99" spans="1:15" x14ac:dyDescent="0.3">
      <c r="A99" t="s">
        <v>140</v>
      </c>
      <c r="B99" s="3">
        <v>45695</v>
      </c>
      <c r="C99" t="s">
        <v>114</v>
      </c>
      <c r="D99" t="s">
        <v>17</v>
      </c>
      <c r="E99" t="s">
        <v>50</v>
      </c>
      <c r="F99" t="s">
        <v>19</v>
      </c>
      <c r="G99" t="s">
        <v>39</v>
      </c>
      <c r="H99" t="s">
        <v>45</v>
      </c>
      <c r="I99">
        <v>17</v>
      </c>
      <c r="J99" s="6">
        <v>1496.96</v>
      </c>
      <c r="K99" s="6">
        <v>25448.32</v>
      </c>
      <c r="L99" t="s">
        <v>22</v>
      </c>
      <c r="M99" t="s">
        <v>22</v>
      </c>
      <c r="N99" s="3">
        <v>46203</v>
      </c>
      <c r="O99" s="6">
        <v>25448.32</v>
      </c>
    </row>
    <row r="100" spans="1:15" x14ac:dyDescent="0.3">
      <c r="A100" t="s">
        <v>141</v>
      </c>
      <c r="B100" s="3">
        <v>45695</v>
      </c>
      <c r="C100" t="s">
        <v>114</v>
      </c>
      <c r="D100" t="s">
        <v>49</v>
      </c>
      <c r="E100" t="s">
        <v>25</v>
      </c>
      <c r="F100" t="s">
        <v>29</v>
      </c>
      <c r="G100" t="s">
        <v>39</v>
      </c>
      <c r="H100" t="s">
        <v>34</v>
      </c>
      <c r="I100">
        <v>17</v>
      </c>
      <c r="J100" s="6">
        <v>534.54</v>
      </c>
      <c r="K100" s="6">
        <v>9087.18</v>
      </c>
      <c r="L100" t="s">
        <v>22</v>
      </c>
      <c r="M100" t="s">
        <v>22</v>
      </c>
      <c r="N100" s="3">
        <v>46203</v>
      </c>
      <c r="O100" s="6">
        <v>9087.18</v>
      </c>
    </row>
    <row r="101" spans="1:15" x14ac:dyDescent="0.3">
      <c r="A101" t="s">
        <v>142</v>
      </c>
      <c r="B101" s="3">
        <v>45696</v>
      </c>
      <c r="C101" t="s">
        <v>114</v>
      </c>
      <c r="D101" t="s">
        <v>49</v>
      </c>
      <c r="E101" t="s">
        <v>28</v>
      </c>
      <c r="F101" t="s">
        <v>19</v>
      </c>
      <c r="G101" t="s">
        <v>39</v>
      </c>
      <c r="H101" t="s">
        <v>21</v>
      </c>
      <c r="I101">
        <v>17</v>
      </c>
      <c r="J101" s="6">
        <v>454.95</v>
      </c>
      <c r="K101" s="6">
        <v>7734.15</v>
      </c>
      <c r="L101" t="s">
        <v>22</v>
      </c>
      <c r="M101" t="s">
        <v>22</v>
      </c>
      <c r="N101" s="3">
        <v>46203</v>
      </c>
      <c r="O101" s="6">
        <v>7734.15</v>
      </c>
    </row>
    <row r="102" spans="1:15" x14ac:dyDescent="0.3">
      <c r="A102" t="s">
        <v>143</v>
      </c>
      <c r="B102" s="3">
        <v>45696</v>
      </c>
      <c r="C102" t="s">
        <v>114</v>
      </c>
      <c r="D102" t="s">
        <v>49</v>
      </c>
      <c r="E102" t="s">
        <v>25</v>
      </c>
      <c r="F102" t="s">
        <v>19</v>
      </c>
      <c r="G102" t="s">
        <v>39</v>
      </c>
      <c r="H102" t="s">
        <v>21</v>
      </c>
      <c r="I102">
        <v>17</v>
      </c>
      <c r="J102" s="6">
        <v>510.5</v>
      </c>
      <c r="K102" s="6">
        <v>8678.5</v>
      </c>
      <c r="L102" t="s">
        <v>22</v>
      </c>
      <c r="M102" t="s">
        <v>22</v>
      </c>
      <c r="N102" s="3">
        <v>46203</v>
      </c>
      <c r="O102" s="6">
        <v>8678.5</v>
      </c>
    </row>
    <row r="103" spans="1:15" x14ac:dyDescent="0.3">
      <c r="A103" t="s">
        <v>144</v>
      </c>
      <c r="B103" s="3">
        <v>45696</v>
      </c>
      <c r="C103" t="s">
        <v>114</v>
      </c>
      <c r="D103" t="s">
        <v>17</v>
      </c>
      <c r="E103" t="s">
        <v>18</v>
      </c>
      <c r="F103" t="s">
        <v>19</v>
      </c>
      <c r="G103" t="s">
        <v>20</v>
      </c>
      <c r="H103" t="s">
        <v>21</v>
      </c>
      <c r="I103">
        <v>17</v>
      </c>
      <c r="J103" s="6">
        <v>1520.8</v>
      </c>
      <c r="K103" s="6">
        <v>25853.599999999999</v>
      </c>
      <c r="L103" t="s">
        <v>22</v>
      </c>
      <c r="M103" t="s">
        <v>22</v>
      </c>
      <c r="N103" s="3">
        <v>46203</v>
      </c>
      <c r="O103" s="6">
        <v>25853.599999999999</v>
      </c>
    </row>
    <row r="104" spans="1:15" x14ac:dyDescent="0.3">
      <c r="A104" t="s">
        <v>145</v>
      </c>
      <c r="B104" s="3">
        <v>45696</v>
      </c>
      <c r="C104" t="s">
        <v>114</v>
      </c>
      <c r="D104" t="s">
        <v>24</v>
      </c>
      <c r="E104" t="s">
        <v>28</v>
      </c>
      <c r="F104" t="s">
        <v>51</v>
      </c>
      <c r="G104" t="s">
        <v>39</v>
      </c>
      <c r="H104" t="s">
        <v>34</v>
      </c>
      <c r="I104">
        <v>17</v>
      </c>
      <c r="J104" s="6">
        <v>864.63</v>
      </c>
      <c r="K104" s="6">
        <v>14698.71</v>
      </c>
      <c r="L104" t="s">
        <v>22</v>
      </c>
      <c r="M104" t="s">
        <v>22</v>
      </c>
      <c r="N104" s="3">
        <v>46203</v>
      </c>
      <c r="O104" s="6">
        <v>14698.71</v>
      </c>
    </row>
    <row r="105" spans="1:15" x14ac:dyDescent="0.3">
      <c r="A105" t="s">
        <v>146</v>
      </c>
      <c r="B105" s="3">
        <v>45696</v>
      </c>
      <c r="C105" t="s">
        <v>114</v>
      </c>
      <c r="D105" t="s">
        <v>49</v>
      </c>
      <c r="E105" t="s">
        <v>18</v>
      </c>
      <c r="F105" t="s">
        <v>33</v>
      </c>
      <c r="G105" t="s">
        <v>20</v>
      </c>
      <c r="H105" t="s">
        <v>45</v>
      </c>
      <c r="I105">
        <v>17</v>
      </c>
      <c r="J105" s="6">
        <v>519.61</v>
      </c>
      <c r="K105" s="6">
        <v>8833.3700000000008</v>
      </c>
      <c r="L105" t="s">
        <v>22</v>
      </c>
      <c r="M105" t="s">
        <v>22</v>
      </c>
      <c r="N105" s="3">
        <v>46203</v>
      </c>
      <c r="O105" s="6">
        <v>8833.3700000000008</v>
      </c>
    </row>
    <row r="106" spans="1:15" x14ac:dyDescent="0.3">
      <c r="A106" t="s">
        <v>147</v>
      </c>
      <c r="B106" s="3">
        <v>45697</v>
      </c>
      <c r="C106" t="s">
        <v>114</v>
      </c>
      <c r="D106" t="s">
        <v>17</v>
      </c>
      <c r="E106" t="s">
        <v>25</v>
      </c>
      <c r="F106" t="s">
        <v>29</v>
      </c>
      <c r="G106" t="s">
        <v>20</v>
      </c>
      <c r="H106" t="s">
        <v>40</v>
      </c>
      <c r="I106">
        <v>17</v>
      </c>
      <c r="J106" s="6">
        <v>1575.43</v>
      </c>
      <c r="K106" s="6">
        <v>26782.31</v>
      </c>
      <c r="L106" t="s">
        <v>22</v>
      </c>
      <c r="M106" t="s">
        <v>22</v>
      </c>
      <c r="N106" s="3">
        <v>46203</v>
      </c>
      <c r="O106" s="6">
        <v>26782.31</v>
      </c>
    </row>
    <row r="107" spans="1:15" x14ac:dyDescent="0.3">
      <c r="A107" t="s">
        <v>148</v>
      </c>
      <c r="B107" s="3">
        <v>45697</v>
      </c>
      <c r="C107" t="s">
        <v>114</v>
      </c>
      <c r="D107" t="s">
        <v>49</v>
      </c>
      <c r="E107" t="s">
        <v>25</v>
      </c>
      <c r="F107" t="s">
        <v>38</v>
      </c>
      <c r="G107" t="s">
        <v>20</v>
      </c>
      <c r="H107" t="s">
        <v>45</v>
      </c>
      <c r="I107">
        <v>17</v>
      </c>
      <c r="J107" s="6">
        <v>515.55999999999995</v>
      </c>
      <c r="K107" s="6">
        <v>8764.52</v>
      </c>
      <c r="L107" t="s">
        <v>22</v>
      </c>
      <c r="M107" t="s">
        <v>22</v>
      </c>
      <c r="N107" s="3">
        <v>46203</v>
      </c>
      <c r="O107" s="6">
        <v>8764.52</v>
      </c>
    </row>
    <row r="108" spans="1:15" x14ac:dyDescent="0.3">
      <c r="A108" t="s">
        <v>149</v>
      </c>
      <c r="B108" s="3">
        <v>45697</v>
      </c>
      <c r="C108" t="s">
        <v>114</v>
      </c>
      <c r="D108" t="s">
        <v>24</v>
      </c>
      <c r="E108" t="s">
        <v>28</v>
      </c>
      <c r="F108" t="s">
        <v>19</v>
      </c>
      <c r="G108" t="s">
        <v>20</v>
      </c>
      <c r="H108" t="s">
        <v>21</v>
      </c>
      <c r="I108">
        <v>17</v>
      </c>
      <c r="J108" s="6">
        <v>961.12</v>
      </c>
      <c r="K108" s="6">
        <v>16339.04</v>
      </c>
      <c r="L108" t="s">
        <v>22</v>
      </c>
      <c r="M108" t="s">
        <v>22</v>
      </c>
      <c r="N108" s="3">
        <v>46203</v>
      </c>
      <c r="O108" s="6">
        <v>16339.04</v>
      </c>
    </row>
    <row r="109" spans="1:15" x14ac:dyDescent="0.3">
      <c r="A109" t="s">
        <v>150</v>
      </c>
      <c r="B109" s="3">
        <v>45698</v>
      </c>
      <c r="C109" t="s">
        <v>114</v>
      </c>
      <c r="D109" t="s">
        <v>24</v>
      </c>
      <c r="E109" t="s">
        <v>28</v>
      </c>
      <c r="F109" t="s">
        <v>33</v>
      </c>
      <c r="G109" t="s">
        <v>39</v>
      </c>
      <c r="H109" t="s">
        <v>21</v>
      </c>
      <c r="I109">
        <v>17</v>
      </c>
      <c r="J109" s="6">
        <v>961.68</v>
      </c>
      <c r="K109" s="6">
        <v>16348.56</v>
      </c>
      <c r="L109" t="s">
        <v>22</v>
      </c>
      <c r="M109" t="s">
        <v>22</v>
      </c>
      <c r="N109" s="3">
        <v>46203</v>
      </c>
      <c r="O109" s="6">
        <v>16348.56</v>
      </c>
    </row>
    <row r="110" spans="1:15" x14ac:dyDescent="0.3">
      <c r="A110" t="s">
        <v>151</v>
      </c>
      <c r="B110" s="3">
        <v>45699</v>
      </c>
      <c r="C110" t="s">
        <v>114</v>
      </c>
      <c r="D110" t="s">
        <v>49</v>
      </c>
      <c r="E110" t="s">
        <v>18</v>
      </c>
      <c r="F110" t="s">
        <v>38</v>
      </c>
      <c r="G110" t="s">
        <v>20</v>
      </c>
      <c r="H110" t="s">
        <v>21</v>
      </c>
      <c r="I110">
        <v>17</v>
      </c>
      <c r="J110" s="6">
        <v>494.56</v>
      </c>
      <c r="K110" s="6">
        <v>8407.52</v>
      </c>
      <c r="L110" t="s">
        <v>22</v>
      </c>
      <c r="M110" t="s">
        <v>22</v>
      </c>
      <c r="N110" s="3">
        <v>46203</v>
      </c>
      <c r="O110" s="6">
        <v>8407.52</v>
      </c>
    </row>
    <row r="111" spans="1:15" x14ac:dyDescent="0.3">
      <c r="A111" t="s">
        <v>152</v>
      </c>
      <c r="B111" s="3">
        <v>45699</v>
      </c>
      <c r="C111" t="s">
        <v>114</v>
      </c>
      <c r="D111" t="s">
        <v>49</v>
      </c>
      <c r="E111" t="s">
        <v>25</v>
      </c>
      <c r="F111" t="s">
        <v>51</v>
      </c>
      <c r="G111" t="s">
        <v>26</v>
      </c>
      <c r="H111" t="s">
        <v>40</v>
      </c>
      <c r="I111">
        <v>17</v>
      </c>
      <c r="J111" s="6">
        <v>455.96</v>
      </c>
      <c r="K111" s="6">
        <v>7751.32</v>
      </c>
      <c r="L111" t="s">
        <v>22</v>
      </c>
      <c r="M111" t="s">
        <v>22</v>
      </c>
      <c r="N111" s="3">
        <v>46203</v>
      </c>
      <c r="O111" s="6">
        <v>7751.32</v>
      </c>
    </row>
    <row r="112" spans="1:15" x14ac:dyDescent="0.3">
      <c r="A112" t="s">
        <v>153</v>
      </c>
      <c r="B112" s="3">
        <v>45699</v>
      </c>
      <c r="C112" t="s">
        <v>114</v>
      </c>
      <c r="D112" t="s">
        <v>24</v>
      </c>
      <c r="E112" t="s">
        <v>25</v>
      </c>
      <c r="F112" t="s">
        <v>38</v>
      </c>
      <c r="G112" t="s">
        <v>39</v>
      </c>
      <c r="H112" t="s">
        <v>21</v>
      </c>
      <c r="I112">
        <v>17</v>
      </c>
      <c r="J112" s="6">
        <v>984.11</v>
      </c>
      <c r="K112" s="6">
        <v>16729.87</v>
      </c>
      <c r="L112" t="s">
        <v>22</v>
      </c>
      <c r="M112" t="s">
        <v>22</v>
      </c>
      <c r="N112" s="3">
        <v>46203</v>
      </c>
      <c r="O112" s="6">
        <v>16729.87</v>
      </c>
    </row>
    <row r="113" spans="1:15" x14ac:dyDescent="0.3">
      <c r="A113" t="s">
        <v>154</v>
      </c>
      <c r="B113" s="3">
        <v>45700</v>
      </c>
      <c r="C113" t="s">
        <v>114</v>
      </c>
      <c r="D113" t="s">
        <v>24</v>
      </c>
      <c r="E113" t="s">
        <v>25</v>
      </c>
      <c r="F113" t="s">
        <v>33</v>
      </c>
      <c r="G113" t="s">
        <v>20</v>
      </c>
      <c r="H113" t="s">
        <v>21</v>
      </c>
      <c r="I113">
        <v>17</v>
      </c>
      <c r="J113" s="6">
        <v>860.26</v>
      </c>
      <c r="K113" s="6">
        <v>14624.42</v>
      </c>
      <c r="L113" t="s">
        <v>22</v>
      </c>
      <c r="M113" t="s">
        <v>22</v>
      </c>
      <c r="N113" s="3">
        <v>46203</v>
      </c>
      <c r="O113" s="6">
        <v>14624.42</v>
      </c>
    </row>
    <row r="114" spans="1:15" x14ac:dyDescent="0.3">
      <c r="A114" t="s">
        <v>155</v>
      </c>
      <c r="B114" s="3">
        <v>45700</v>
      </c>
      <c r="C114" t="s">
        <v>114</v>
      </c>
      <c r="D114" t="s">
        <v>49</v>
      </c>
      <c r="E114" t="s">
        <v>28</v>
      </c>
      <c r="F114" t="s">
        <v>29</v>
      </c>
      <c r="G114" t="s">
        <v>26</v>
      </c>
      <c r="H114" t="s">
        <v>34</v>
      </c>
      <c r="I114">
        <v>17</v>
      </c>
      <c r="J114" s="6">
        <v>516.27</v>
      </c>
      <c r="K114" s="6">
        <v>8776.59</v>
      </c>
      <c r="L114" t="s">
        <v>22</v>
      </c>
      <c r="M114" t="s">
        <v>22</v>
      </c>
      <c r="N114" s="3">
        <v>46203</v>
      </c>
      <c r="O114" s="6">
        <v>8776.59</v>
      </c>
    </row>
    <row r="115" spans="1:15" x14ac:dyDescent="0.3">
      <c r="A115" t="s">
        <v>156</v>
      </c>
      <c r="B115" s="3">
        <v>45700</v>
      </c>
      <c r="C115" t="s">
        <v>114</v>
      </c>
      <c r="D115" t="s">
        <v>17</v>
      </c>
      <c r="E115" t="s">
        <v>25</v>
      </c>
      <c r="F115" t="s">
        <v>38</v>
      </c>
      <c r="G115" t="s">
        <v>20</v>
      </c>
      <c r="H115" t="s">
        <v>40</v>
      </c>
      <c r="I115">
        <v>10</v>
      </c>
      <c r="J115" s="6">
        <v>1383.11</v>
      </c>
      <c r="K115" s="6">
        <v>13831.1</v>
      </c>
      <c r="L115" t="s">
        <v>30</v>
      </c>
      <c r="M115" t="s">
        <v>43</v>
      </c>
      <c r="N115" s="3">
        <v>46000</v>
      </c>
      <c r="O115" s="6">
        <v>13831.1</v>
      </c>
    </row>
    <row r="116" spans="1:15" x14ac:dyDescent="0.3">
      <c r="A116" t="s">
        <v>157</v>
      </c>
      <c r="B116" s="3">
        <v>45701</v>
      </c>
      <c r="C116" t="s">
        <v>114</v>
      </c>
      <c r="D116" t="s">
        <v>24</v>
      </c>
      <c r="E116" t="s">
        <v>18</v>
      </c>
      <c r="F116" t="s">
        <v>33</v>
      </c>
      <c r="G116" t="s">
        <v>39</v>
      </c>
      <c r="H116" t="s">
        <v>40</v>
      </c>
      <c r="I116">
        <v>16</v>
      </c>
      <c r="J116" s="6">
        <v>971.04</v>
      </c>
      <c r="K116" s="6">
        <v>15536.64</v>
      </c>
      <c r="L116" t="s">
        <v>30</v>
      </c>
      <c r="M116" t="s">
        <v>31</v>
      </c>
      <c r="N116" s="3">
        <v>46195</v>
      </c>
      <c r="O116" s="6">
        <v>15536.64</v>
      </c>
    </row>
    <row r="117" spans="1:15" x14ac:dyDescent="0.3">
      <c r="A117" t="s">
        <v>158</v>
      </c>
      <c r="B117" s="3">
        <v>45701</v>
      </c>
      <c r="C117" t="s">
        <v>114</v>
      </c>
      <c r="D117" t="s">
        <v>17</v>
      </c>
      <c r="E117" t="s">
        <v>18</v>
      </c>
      <c r="F117" t="s">
        <v>19</v>
      </c>
      <c r="G117" t="s">
        <v>39</v>
      </c>
      <c r="H117" t="s">
        <v>40</v>
      </c>
      <c r="I117">
        <v>16</v>
      </c>
      <c r="J117" s="6">
        <v>1552.67</v>
      </c>
      <c r="K117" s="6">
        <v>24842.720000000001</v>
      </c>
      <c r="L117" t="s">
        <v>22</v>
      </c>
      <c r="M117" t="s">
        <v>22</v>
      </c>
      <c r="N117" s="3">
        <v>46203</v>
      </c>
      <c r="O117" s="6">
        <v>24842.720000000001</v>
      </c>
    </row>
    <row r="118" spans="1:15" x14ac:dyDescent="0.3">
      <c r="A118" t="s">
        <v>159</v>
      </c>
      <c r="B118" s="3">
        <v>45701</v>
      </c>
      <c r="C118" t="s">
        <v>114</v>
      </c>
      <c r="D118" t="s">
        <v>24</v>
      </c>
      <c r="E118" t="s">
        <v>25</v>
      </c>
      <c r="F118" t="s">
        <v>19</v>
      </c>
      <c r="G118" t="s">
        <v>39</v>
      </c>
      <c r="H118" t="s">
        <v>21</v>
      </c>
      <c r="I118">
        <v>9</v>
      </c>
      <c r="J118" s="6">
        <v>835.34</v>
      </c>
      <c r="K118" s="6">
        <v>7518.06</v>
      </c>
      <c r="L118" t="s">
        <v>30</v>
      </c>
      <c r="M118" t="s">
        <v>36</v>
      </c>
      <c r="N118" s="3">
        <v>45987</v>
      </c>
      <c r="O118" s="6">
        <v>7518.06</v>
      </c>
    </row>
    <row r="119" spans="1:15" x14ac:dyDescent="0.3">
      <c r="A119" t="s">
        <v>160</v>
      </c>
      <c r="B119" s="3">
        <v>45701</v>
      </c>
      <c r="C119" t="s">
        <v>114</v>
      </c>
      <c r="D119" t="s">
        <v>24</v>
      </c>
      <c r="E119" t="s">
        <v>28</v>
      </c>
      <c r="F119" t="s">
        <v>29</v>
      </c>
      <c r="G119" t="s">
        <v>39</v>
      </c>
      <c r="H119" t="s">
        <v>21</v>
      </c>
      <c r="I119">
        <v>16</v>
      </c>
      <c r="J119" s="6">
        <v>836.63</v>
      </c>
      <c r="K119" s="6">
        <v>13386.08</v>
      </c>
      <c r="L119" t="s">
        <v>22</v>
      </c>
      <c r="M119" t="s">
        <v>22</v>
      </c>
      <c r="N119" s="3">
        <v>46203</v>
      </c>
      <c r="O119" s="6">
        <v>13386.08</v>
      </c>
    </row>
    <row r="120" spans="1:15" x14ac:dyDescent="0.3">
      <c r="A120" t="s">
        <v>161</v>
      </c>
      <c r="B120" s="3">
        <v>45701</v>
      </c>
      <c r="C120" t="s">
        <v>114</v>
      </c>
      <c r="D120" t="s">
        <v>24</v>
      </c>
      <c r="E120" t="s">
        <v>28</v>
      </c>
      <c r="F120" t="s">
        <v>19</v>
      </c>
      <c r="G120" t="s">
        <v>20</v>
      </c>
      <c r="H120" t="s">
        <v>21</v>
      </c>
      <c r="I120">
        <v>16</v>
      </c>
      <c r="J120" s="6">
        <v>902.61</v>
      </c>
      <c r="K120" s="6">
        <v>14441.76</v>
      </c>
      <c r="L120" t="s">
        <v>22</v>
      </c>
      <c r="M120" t="s">
        <v>22</v>
      </c>
      <c r="N120" s="3">
        <v>46203</v>
      </c>
      <c r="O120" s="6">
        <v>14441.76</v>
      </c>
    </row>
    <row r="121" spans="1:15" x14ac:dyDescent="0.3">
      <c r="A121" t="s">
        <v>162</v>
      </c>
      <c r="B121" s="3">
        <v>45701</v>
      </c>
      <c r="C121" t="s">
        <v>114</v>
      </c>
      <c r="D121" t="s">
        <v>49</v>
      </c>
      <c r="E121" t="s">
        <v>25</v>
      </c>
      <c r="F121" t="s">
        <v>19</v>
      </c>
      <c r="G121" t="s">
        <v>20</v>
      </c>
      <c r="H121" t="s">
        <v>34</v>
      </c>
      <c r="I121">
        <v>16</v>
      </c>
      <c r="J121" s="6">
        <v>514.61</v>
      </c>
      <c r="K121" s="6">
        <v>8233.76</v>
      </c>
      <c r="L121" t="s">
        <v>22</v>
      </c>
      <c r="M121" t="s">
        <v>22</v>
      </c>
      <c r="N121" s="3">
        <v>46203</v>
      </c>
      <c r="O121" s="6">
        <v>8233.76</v>
      </c>
    </row>
    <row r="122" spans="1:15" x14ac:dyDescent="0.3">
      <c r="A122" t="s">
        <v>163</v>
      </c>
      <c r="B122" s="3">
        <v>45701</v>
      </c>
      <c r="C122" t="s">
        <v>114</v>
      </c>
      <c r="D122" t="s">
        <v>24</v>
      </c>
      <c r="E122" t="s">
        <v>25</v>
      </c>
      <c r="F122" t="s">
        <v>19</v>
      </c>
      <c r="G122" t="s">
        <v>39</v>
      </c>
      <c r="H122" t="s">
        <v>21</v>
      </c>
      <c r="I122">
        <v>16</v>
      </c>
      <c r="J122" s="6">
        <v>913.51</v>
      </c>
      <c r="K122" s="6">
        <v>14616.16</v>
      </c>
      <c r="L122" t="s">
        <v>22</v>
      </c>
      <c r="M122" t="s">
        <v>22</v>
      </c>
      <c r="N122" s="3">
        <v>46203</v>
      </c>
      <c r="O122" s="6">
        <v>14616.16</v>
      </c>
    </row>
    <row r="123" spans="1:15" x14ac:dyDescent="0.3">
      <c r="A123" t="s">
        <v>164</v>
      </c>
      <c r="B123" s="3">
        <v>45702</v>
      </c>
      <c r="C123" t="s">
        <v>114</v>
      </c>
      <c r="D123" t="s">
        <v>24</v>
      </c>
      <c r="E123" t="s">
        <v>25</v>
      </c>
      <c r="F123" t="s">
        <v>29</v>
      </c>
      <c r="G123" t="s">
        <v>39</v>
      </c>
      <c r="H123" t="s">
        <v>45</v>
      </c>
      <c r="I123">
        <v>11</v>
      </c>
      <c r="J123" s="6">
        <v>879.14</v>
      </c>
      <c r="K123" s="6">
        <v>9670.5400000000009</v>
      </c>
      <c r="L123" t="s">
        <v>30</v>
      </c>
      <c r="M123" t="s">
        <v>43</v>
      </c>
      <c r="N123" s="3">
        <v>46032</v>
      </c>
      <c r="O123" s="6">
        <v>9670.5400000000009</v>
      </c>
    </row>
    <row r="124" spans="1:15" x14ac:dyDescent="0.3">
      <c r="A124" t="s">
        <v>165</v>
      </c>
      <c r="B124" s="3">
        <v>45702</v>
      </c>
      <c r="C124" t="s">
        <v>114</v>
      </c>
      <c r="D124" t="s">
        <v>49</v>
      </c>
      <c r="E124" t="s">
        <v>18</v>
      </c>
      <c r="F124" t="s">
        <v>38</v>
      </c>
      <c r="G124" t="s">
        <v>39</v>
      </c>
      <c r="H124" t="s">
        <v>34</v>
      </c>
      <c r="I124">
        <v>16</v>
      </c>
      <c r="J124" s="6">
        <v>526.66</v>
      </c>
      <c r="K124" s="6">
        <v>8426.56</v>
      </c>
      <c r="L124" t="s">
        <v>22</v>
      </c>
      <c r="M124" t="s">
        <v>22</v>
      </c>
      <c r="N124" s="3">
        <v>46203</v>
      </c>
      <c r="O124" s="6">
        <v>8426.56</v>
      </c>
    </row>
    <row r="125" spans="1:15" x14ac:dyDescent="0.3">
      <c r="A125" t="s">
        <v>166</v>
      </c>
      <c r="B125" s="3">
        <v>45702</v>
      </c>
      <c r="C125" t="s">
        <v>114</v>
      </c>
      <c r="D125" t="s">
        <v>24</v>
      </c>
      <c r="E125" t="s">
        <v>18</v>
      </c>
      <c r="F125" t="s">
        <v>33</v>
      </c>
      <c r="G125" t="s">
        <v>39</v>
      </c>
      <c r="H125" t="s">
        <v>21</v>
      </c>
      <c r="I125">
        <v>3</v>
      </c>
      <c r="J125" s="6">
        <v>824.68</v>
      </c>
      <c r="K125" s="6">
        <v>2474.04</v>
      </c>
      <c r="L125" t="s">
        <v>30</v>
      </c>
      <c r="M125" t="s">
        <v>41</v>
      </c>
      <c r="N125" s="3">
        <v>45790</v>
      </c>
      <c r="O125" s="6">
        <v>2474.04</v>
      </c>
    </row>
    <row r="126" spans="1:15" x14ac:dyDescent="0.3">
      <c r="A126" t="s">
        <v>167</v>
      </c>
      <c r="B126" s="3">
        <v>45702</v>
      </c>
      <c r="C126" t="s">
        <v>114</v>
      </c>
      <c r="D126" t="s">
        <v>24</v>
      </c>
      <c r="E126" t="s">
        <v>25</v>
      </c>
      <c r="F126" t="s">
        <v>29</v>
      </c>
      <c r="G126" t="s">
        <v>39</v>
      </c>
      <c r="H126" t="s">
        <v>34</v>
      </c>
      <c r="I126">
        <v>16</v>
      </c>
      <c r="J126" s="6">
        <v>816.66</v>
      </c>
      <c r="K126" s="6">
        <v>13066.56</v>
      </c>
      <c r="L126" t="s">
        <v>22</v>
      </c>
      <c r="M126" t="s">
        <v>22</v>
      </c>
      <c r="N126" s="3">
        <v>46203</v>
      </c>
      <c r="O126" s="6">
        <v>13066.56</v>
      </c>
    </row>
    <row r="127" spans="1:15" x14ac:dyDescent="0.3">
      <c r="A127" t="s">
        <v>168</v>
      </c>
      <c r="B127" s="3">
        <v>45703</v>
      </c>
      <c r="C127" t="s">
        <v>114</v>
      </c>
      <c r="D127" t="s">
        <v>17</v>
      </c>
      <c r="E127" t="s">
        <v>25</v>
      </c>
      <c r="F127" t="s">
        <v>29</v>
      </c>
      <c r="G127" t="s">
        <v>39</v>
      </c>
      <c r="H127" t="s">
        <v>40</v>
      </c>
      <c r="I127">
        <v>16</v>
      </c>
      <c r="J127" s="6">
        <v>1560.1</v>
      </c>
      <c r="K127" s="6">
        <v>24961.599999999999</v>
      </c>
      <c r="L127" t="s">
        <v>22</v>
      </c>
      <c r="M127" t="s">
        <v>22</v>
      </c>
      <c r="N127" s="3">
        <v>46203</v>
      </c>
      <c r="O127" s="6">
        <v>24961.599999999999</v>
      </c>
    </row>
    <row r="128" spans="1:15" x14ac:dyDescent="0.3">
      <c r="A128" t="s">
        <v>169</v>
      </c>
      <c r="B128" s="3">
        <v>45703</v>
      </c>
      <c r="C128" t="s">
        <v>114</v>
      </c>
      <c r="D128" t="s">
        <v>49</v>
      </c>
      <c r="E128" t="s">
        <v>25</v>
      </c>
      <c r="F128" t="s">
        <v>19</v>
      </c>
      <c r="G128" t="s">
        <v>39</v>
      </c>
      <c r="H128" t="s">
        <v>21</v>
      </c>
      <c r="I128">
        <v>16</v>
      </c>
      <c r="J128" s="6">
        <v>504.26</v>
      </c>
      <c r="K128" s="6">
        <v>8068.16</v>
      </c>
      <c r="L128" t="s">
        <v>22</v>
      </c>
      <c r="M128" t="s">
        <v>22</v>
      </c>
      <c r="N128" s="3">
        <v>46203</v>
      </c>
      <c r="O128" s="6">
        <v>8068.16</v>
      </c>
    </row>
    <row r="129" spans="1:15" x14ac:dyDescent="0.3">
      <c r="A129" t="s">
        <v>170</v>
      </c>
      <c r="B129" s="3">
        <v>45704</v>
      </c>
      <c r="C129" t="s">
        <v>114</v>
      </c>
      <c r="D129" t="s">
        <v>24</v>
      </c>
      <c r="E129" t="s">
        <v>25</v>
      </c>
      <c r="F129" t="s">
        <v>19</v>
      </c>
      <c r="G129" t="s">
        <v>26</v>
      </c>
      <c r="H129" t="s">
        <v>40</v>
      </c>
      <c r="I129">
        <v>16</v>
      </c>
      <c r="J129" s="6">
        <v>895.8</v>
      </c>
      <c r="K129" s="6">
        <v>14332.8</v>
      </c>
      <c r="L129" t="s">
        <v>22</v>
      </c>
      <c r="M129" t="s">
        <v>22</v>
      </c>
      <c r="N129" s="3">
        <v>46203</v>
      </c>
      <c r="O129" s="6">
        <v>14332.8</v>
      </c>
    </row>
    <row r="130" spans="1:15" x14ac:dyDescent="0.3">
      <c r="A130" t="s">
        <v>171</v>
      </c>
      <c r="B130" s="3">
        <v>45704</v>
      </c>
      <c r="C130" t="s">
        <v>114</v>
      </c>
      <c r="D130" t="s">
        <v>17</v>
      </c>
      <c r="E130" t="s">
        <v>25</v>
      </c>
      <c r="F130" t="s">
        <v>29</v>
      </c>
      <c r="G130" t="s">
        <v>39</v>
      </c>
      <c r="H130" t="s">
        <v>45</v>
      </c>
      <c r="I130">
        <v>16</v>
      </c>
      <c r="J130" s="6">
        <v>1622.48</v>
      </c>
      <c r="K130" s="6">
        <v>25959.68</v>
      </c>
      <c r="L130" t="s">
        <v>22</v>
      </c>
      <c r="M130" t="s">
        <v>22</v>
      </c>
      <c r="N130" s="3">
        <v>46203</v>
      </c>
      <c r="O130" s="6">
        <v>25959.68</v>
      </c>
    </row>
    <row r="131" spans="1:15" x14ac:dyDescent="0.3">
      <c r="A131" t="s">
        <v>172</v>
      </c>
      <c r="B131" s="3">
        <v>45704</v>
      </c>
      <c r="C131" t="s">
        <v>114</v>
      </c>
      <c r="D131" t="s">
        <v>24</v>
      </c>
      <c r="E131" t="s">
        <v>50</v>
      </c>
      <c r="F131" t="s">
        <v>29</v>
      </c>
      <c r="G131" t="s">
        <v>39</v>
      </c>
      <c r="H131" t="s">
        <v>21</v>
      </c>
      <c r="I131">
        <v>16</v>
      </c>
      <c r="J131" s="6">
        <v>843.76</v>
      </c>
      <c r="K131" s="6">
        <v>13500.16</v>
      </c>
      <c r="L131" t="s">
        <v>22</v>
      </c>
      <c r="M131" t="s">
        <v>22</v>
      </c>
      <c r="N131" s="3">
        <v>46203</v>
      </c>
      <c r="O131" s="6">
        <v>13500.16</v>
      </c>
    </row>
    <row r="132" spans="1:15" x14ac:dyDescent="0.3">
      <c r="A132" t="s">
        <v>173</v>
      </c>
      <c r="B132" s="3">
        <v>45704</v>
      </c>
      <c r="C132" t="s">
        <v>114</v>
      </c>
      <c r="D132" t="s">
        <v>24</v>
      </c>
      <c r="E132" t="s">
        <v>25</v>
      </c>
      <c r="F132" t="s">
        <v>19</v>
      </c>
      <c r="G132" t="s">
        <v>20</v>
      </c>
      <c r="H132" t="s">
        <v>40</v>
      </c>
      <c r="I132">
        <v>16</v>
      </c>
      <c r="J132" s="6">
        <v>946.36</v>
      </c>
      <c r="K132" s="6">
        <v>15141.76</v>
      </c>
      <c r="L132" t="s">
        <v>22</v>
      </c>
      <c r="M132" t="s">
        <v>22</v>
      </c>
      <c r="N132" s="3">
        <v>46203</v>
      </c>
      <c r="O132" s="6">
        <v>15141.76</v>
      </c>
    </row>
    <row r="133" spans="1:15" x14ac:dyDescent="0.3">
      <c r="A133" t="s">
        <v>174</v>
      </c>
      <c r="B133" s="3">
        <v>45705</v>
      </c>
      <c r="C133" t="s">
        <v>114</v>
      </c>
      <c r="D133" t="s">
        <v>24</v>
      </c>
      <c r="E133" t="s">
        <v>18</v>
      </c>
      <c r="F133" t="s">
        <v>38</v>
      </c>
      <c r="G133" t="s">
        <v>39</v>
      </c>
      <c r="H133" t="s">
        <v>21</v>
      </c>
      <c r="I133">
        <v>16</v>
      </c>
      <c r="J133" s="6">
        <v>964.22</v>
      </c>
      <c r="K133" s="6">
        <v>15427.52</v>
      </c>
      <c r="L133" t="s">
        <v>22</v>
      </c>
      <c r="M133" t="s">
        <v>22</v>
      </c>
      <c r="N133" s="3">
        <v>46203</v>
      </c>
      <c r="O133" s="6">
        <v>15427.52</v>
      </c>
    </row>
    <row r="134" spans="1:15" x14ac:dyDescent="0.3">
      <c r="A134" t="s">
        <v>175</v>
      </c>
      <c r="B134" s="3">
        <v>45705</v>
      </c>
      <c r="C134" t="s">
        <v>114</v>
      </c>
      <c r="D134" t="s">
        <v>49</v>
      </c>
      <c r="E134" t="s">
        <v>28</v>
      </c>
      <c r="F134" t="s">
        <v>38</v>
      </c>
      <c r="G134" t="s">
        <v>39</v>
      </c>
      <c r="H134" t="s">
        <v>45</v>
      </c>
      <c r="I134">
        <v>12</v>
      </c>
      <c r="J134" s="6">
        <v>471.62</v>
      </c>
      <c r="K134" s="6">
        <v>5659.44</v>
      </c>
      <c r="L134" t="s">
        <v>30</v>
      </c>
      <c r="M134" t="s">
        <v>36</v>
      </c>
      <c r="N134" s="3">
        <v>46060</v>
      </c>
      <c r="O134" s="6">
        <v>5659.44</v>
      </c>
    </row>
    <row r="135" spans="1:15" x14ac:dyDescent="0.3">
      <c r="A135" t="s">
        <v>176</v>
      </c>
      <c r="B135" s="3">
        <v>45705</v>
      </c>
      <c r="C135" t="s">
        <v>114</v>
      </c>
      <c r="D135" t="s">
        <v>49</v>
      </c>
      <c r="E135" t="s">
        <v>25</v>
      </c>
      <c r="F135" t="s">
        <v>51</v>
      </c>
      <c r="G135" t="s">
        <v>20</v>
      </c>
      <c r="H135" t="s">
        <v>21</v>
      </c>
      <c r="I135">
        <v>16</v>
      </c>
      <c r="J135" s="6">
        <v>463.79</v>
      </c>
      <c r="K135" s="6">
        <v>7420.64</v>
      </c>
      <c r="L135" t="s">
        <v>22</v>
      </c>
      <c r="M135" t="s">
        <v>22</v>
      </c>
      <c r="N135" s="3">
        <v>46203</v>
      </c>
      <c r="O135" s="6">
        <v>7420.64</v>
      </c>
    </row>
    <row r="136" spans="1:15" x14ac:dyDescent="0.3">
      <c r="A136" t="s">
        <v>177</v>
      </c>
      <c r="B136" s="3">
        <v>45705</v>
      </c>
      <c r="C136" t="s">
        <v>114</v>
      </c>
      <c r="D136" t="s">
        <v>24</v>
      </c>
      <c r="E136" t="s">
        <v>18</v>
      </c>
      <c r="F136" t="s">
        <v>38</v>
      </c>
      <c r="G136" t="s">
        <v>39</v>
      </c>
      <c r="H136" t="s">
        <v>21</v>
      </c>
      <c r="I136">
        <v>16</v>
      </c>
      <c r="J136" s="6">
        <v>853.93</v>
      </c>
      <c r="K136" s="6">
        <v>13662.88</v>
      </c>
      <c r="L136" t="s">
        <v>22</v>
      </c>
      <c r="M136" t="s">
        <v>22</v>
      </c>
      <c r="N136" s="3">
        <v>46203</v>
      </c>
      <c r="O136" s="6">
        <v>13662.88</v>
      </c>
    </row>
    <row r="137" spans="1:15" x14ac:dyDescent="0.3">
      <c r="A137" t="s">
        <v>178</v>
      </c>
      <c r="B137" s="3">
        <v>45706</v>
      </c>
      <c r="C137" t="s">
        <v>114</v>
      </c>
      <c r="D137" t="s">
        <v>24</v>
      </c>
      <c r="E137" t="s">
        <v>28</v>
      </c>
      <c r="F137" t="s">
        <v>38</v>
      </c>
      <c r="G137" t="s">
        <v>39</v>
      </c>
      <c r="H137" t="s">
        <v>21</v>
      </c>
      <c r="I137">
        <v>16</v>
      </c>
      <c r="J137" s="6">
        <v>893.36</v>
      </c>
      <c r="K137" s="6">
        <v>14293.76</v>
      </c>
      <c r="L137" t="s">
        <v>22</v>
      </c>
      <c r="M137" t="s">
        <v>22</v>
      </c>
      <c r="N137" s="3">
        <v>46203</v>
      </c>
      <c r="O137" s="6">
        <v>14293.76</v>
      </c>
    </row>
    <row r="138" spans="1:15" x14ac:dyDescent="0.3">
      <c r="A138" t="s">
        <v>179</v>
      </c>
      <c r="B138" s="3">
        <v>45706</v>
      </c>
      <c r="C138" t="s">
        <v>114</v>
      </c>
      <c r="D138" t="s">
        <v>49</v>
      </c>
      <c r="E138" t="s">
        <v>28</v>
      </c>
      <c r="F138" t="s">
        <v>38</v>
      </c>
      <c r="G138" t="s">
        <v>39</v>
      </c>
      <c r="H138" t="s">
        <v>40</v>
      </c>
      <c r="I138">
        <v>16</v>
      </c>
      <c r="J138" s="6">
        <v>463.84</v>
      </c>
      <c r="K138" s="6">
        <v>7421.44</v>
      </c>
      <c r="L138" t="s">
        <v>22</v>
      </c>
      <c r="M138" t="s">
        <v>22</v>
      </c>
      <c r="N138" s="3">
        <v>46203</v>
      </c>
      <c r="O138" s="6">
        <v>7421.44</v>
      </c>
    </row>
    <row r="139" spans="1:15" x14ac:dyDescent="0.3">
      <c r="A139" t="s">
        <v>180</v>
      </c>
      <c r="B139" s="3">
        <v>45706</v>
      </c>
      <c r="C139" t="s">
        <v>114</v>
      </c>
      <c r="D139" t="s">
        <v>49</v>
      </c>
      <c r="E139" t="s">
        <v>28</v>
      </c>
      <c r="F139" t="s">
        <v>19</v>
      </c>
      <c r="G139" t="s">
        <v>39</v>
      </c>
      <c r="H139" t="s">
        <v>21</v>
      </c>
      <c r="I139">
        <v>15</v>
      </c>
      <c r="J139" s="6">
        <v>518.82000000000005</v>
      </c>
      <c r="K139" s="6">
        <v>7782.3</v>
      </c>
      <c r="L139" t="s">
        <v>30</v>
      </c>
      <c r="M139" t="s">
        <v>31</v>
      </c>
      <c r="N139" s="3">
        <v>46168</v>
      </c>
      <c r="O139" s="6">
        <v>7782.3</v>
      </c>
    </row>
    <row r="140" spans="1:15" x14ac:dyDescent="0.3">
      <c r="A140" t="s">
        <v>181</v>
      </c>
      <c r="B140" s="3">
        <v>45706</v>
      </c>
      <c r="C140" t="s">
        <v>114</v>
      </c>
      <c r="D140" t="s">
        <v>17</v>
      </c>
      <c r="E140" t="s">
        <v>28</v>
      </c>
      <c r="F140" t="s">
        <v>19</v>
      </c>
      <c r="G140" t="s">
        <v>39</v>
      </c>
      <c r="H140" t="s">
        <v>45</v>
      </c>
      <c r="I140">
        <v>16</v>
      </c>
      <c r="J140" s="6">
        <v>1430.82</v>
      </c>
      <c r="K140" s="6">
        <v>22893.119999999999</v>
      </c>
      <c r="L140" t="s">
        <v>22</v>
      </c>
      <c r="M140" t="s">
        <v>22</v>
      </c>
      <c r="N140" s="3">
        <v>46203</v>
      </c>
      <c r="O140" s="6">
        <v>22893.119999999999</v>
      </c>
    </row>
    <row r="141" spans="1:15" x14ac:dyDescent="0.3">
      <c r="A141" t="s">
        <v>182</v>
      </c>
      <c r="B141" s="3">
        <v>45707</v>
      </c>
      <c r="C141" t="s">
        <v>114</v>
      </c>
      <c r="D141" t="s">
        <v>49</v>
      </c>
      <c r="E141" t="s">
        <v>28</v>
      </c>
      <c r="F141" t="s">
        <v>19</v>
      </c>
      <c r="G141" t="s">
        <v>39</v>
      </c>
      <c r="H141" t="s">
        <v>45</v>
      </c>
      <c r="I141">
        <v>16</v>
      </c>
      <c r="J141" s="6">
        <v>535.45000000000005</v>
      </c>
      <c r="K141" s="6">
        <v>8567.2000000000007</v>
      </c>
      <c r="L141" t="s">
        <v>22</v>
      </c>
      <c r="M141" t="s">
        <v>22</v>
      </c>
      <c r="N141" s="3">
        <v>46203</v>
      </c>
      <c r="O141" s="6">
        <v>8567.2000000000007</v>
      </c>
    </row>
    <row r="142" spans="1:15" x14ac:dyDescent="0.3">
      <c r="A142" t="s">
        <v>183</v>
      </c>
      <c r="B142" s="3">
        <v>45707</v>
      </c>
      <c r="C142" t="s">
        <v>114</v>
      </c>
      <c r="D142" t="s">
        <v>17</v>
      </c>
      <c r="E142" t="s">
        <v>50</v>
      </c>
      <c r="F142" t="s">
        <v>38</v>
      </c>
      <c r="G142" t="s">
        <v>39</v>
      </c>
      <c r="H142" t="s">
        <v>40</v>
      </c>
      <c r="I142">
        <v>1</v>
      </c>
      <c r="J142" s="6">
        <v>1599.48</v>
      </c>
      <c r="K142" s="6">
        <v>1599.48</v>
      </c>
      <c r="L142" t="s">
        <v>30</v>
      </c>
      <c r="M142" t="s">
        <v>43</v>
      </c>
      <c r="N142" s="3">
        <v>45741</v>
      </c>
      <c r="O142" s="6">
        <v>1599.48</v>
      </c>
    </row>
    <row r="143" spans="1:15" x14ac:dyDescent="0.3">
      <c r="A143" t="s">
        <v>184</v>
      </c>
      <c r="B143" s="3">
        <v>45708</v>
      </c>
      <c r="C143" t="s">
        <v>114</v>
      </c>
      <c r="D143" t="s">
        <v>49</v>
      </c>
      <c r="E143" t="s">
        <v>25</v>
      </c>
      <c r="F143" t="s">
        <v>29</v>
      </c>
      <c r="G143" t="s">
        <v>39</v>
      </c>
      <c r="H143" t="s">
        <v>21</v>
      </c>
      <c r="I143">
        <v>15</v>
      </c>
      <c r="J143" s="6">
        <v>493.48</v>
      </c>
      <c r="K143" s="6">
        <v>7402.2</v>
      </c>
      <c r="L143" t="s">
        <v>30</v>
      </c>
      <c r="M143" t="s">
        <v>80</v>
      </c>
      <c r="N143" s="3">
        <v>46162</v>
      </c>
      <c r="O143" s="6">
        <v>7402.2</v>
      </c>
    </row>
    <row r="144" spans="1:15" x14ac:dyDescent="0.3">
      <c r="A144" t="s">
        <v>185</v>
      </c>
      <c r="B144" s="3">
        <v>45708</v>
      </c>
      <c r="C144" t="s">
        <v>114</v>
      </c>
      <c r="D144" t="s">
        <v>49</v>
      </c>
      <c r="E144" t="s">
        <v>50</v>
      </c>
      <c r="F144" t="s">
        <v>29</v>
      </c>
      <c r="G144" t="s">
        <v>39</v>
      </c>
      <c r="H144" t="s">
        <v>21</v>
      </c>
      <c r="I144">
        <v>16</v>
      </c>
      <c r="J144" s="6">
        <v>501.78</v>
      </c>
      <c r="K144" s="6">
        <v>8028.48</v>
      </c>
      <c r="L144" t="s">
        <v>22</v>
      </c>
      <c r="M144" t="s">
        <v>22</v>
      </c>
      <c r="N144" s="3">
        <v>46203</v>
      </c>
      <c r="O144" s="6">
        <v>8028.48</v>
      </c>
    </row>
    <row r="145" spans="1:15" x14ac:dyDescent="0.3">
      <c r="A145" t="s">
        <v>186</v>
      </c>
      <c r="B145" s="3">
        <v>45709</v>
      </c>
      <c r="C145" t="s">
        <v>114</v>
      </c>
      <c r="D145" t="s">
        <v>49</v>
      </c>
      <c r="E145" t="s">
        <v>18</v>
      </c>
      <c r="F145" t="s">
        <v>29</v>
      </c>
      <c r="G145" t="s">
        <v>39</v>
      </c>
      <c r="H145" t="s">
        <v>34</v>
      </c>
      <c r="I145">
        <v>16</v>
      </c>
      <c r="J145" s="6">
        <v>521.64</v>
      </c>
      <c r="K145" s="6">
        <v>8346.24</v>
      </c>
      <c r="L145" t="s">
        <v>22</v>
      </c>
      <c r="M145" t="s">
        <v>22</v>
      </c>
      <c r="N145" s="3">
        <v>46203</v>
      </c>
      <c r="O145" s="6">
        <v>8346.24</v>
      </c>
    </row>
    <row r="146" spans="1:15" x14ac:dyDescent="0.3">
      <c r="A146" t="s">
        <v>187</v>
      </c>
      <c r="B146" s="3">
        <v>45709</v>
      </c>
      <c r="C146" t="s">
        <v>114</v>
      </c>
      <c r="D146" t="s">
        <v>24</v>
      </c>
      <c r="E146" t="s">
        <v>28</v>
      </c>
      <c r="F146" t="s">
        <v>51</v>
      </c>
      <c r="G146" t="s">
        <v>39</v>
      </c>
      <c r="H146" t="s">
        <v>21</v>
      </c>
      <c r="I146">
        <v>2</v>
      </c>
      <c r="J146" s="6">
        <v>837.08</v>
      </c>
      <c r="K146" s="6">
        <v>1674.16</v>
      </c>
      <c r="L146" t="s">
        <v>30</v>
      </c>
      <c r="M146" t="s">
        <v>43</v>
      </c>
      <c r="N146" s="3">
        <v>45758</v>
      </c>
      <c r="O146" s="6">
        <v>1674.16</v>
      </c>
    </row>
    <row r="147" spans="1:15" x14ac:dyDescent="0.3">
      <c r="A147" t="s">
        <v>188</v>
      </c>
      <c r="B147" s="3">
        <v>45709</v>
      </c>
      <c r="C147" t="s">
        <v>114</v>
      </c>
      <c r="D147" t="s">
        <v>17</v>
      </c>
      <c r="E147" t="s">
        <v>50</v>
      </c>
      <c r="F147" t="s">
        <v>38</v>
      </c>
      <c r="G147" t="s">
        <v>26</v>
      </c>
      <c r="H147" t="s">
        <v>34</v>
      </c>
      <c r="I147">
        <v>16</v>
      </c>
      <c r="J147" s="6">
        <v>1506.61</v>
      </c>
      <c r="K147" s="6">
        <v>24105.759999999998</v>
      </c>
      <c r="L147" t="s">
        <v>22</v>
      </c>
      <c r="M147" t="s">
        <v>22</v>
      </c>
      <c r="N147" s="3">
        <v>46203</v>
      </c>
      <c r="O147" s="6">
        <v>24105.759999999998</v>
      </c>
    </row>
    <row r="148" spans="1:15" x14ac:dyDescent="0.3">
      <c r="A148" t="s">
        <v>189</v>
      </c>
      <c r="B148" s="3">
        <v>45709</v>
      </c>
      <c r="C148" t="s">
        <v>114</v>
      </c>
      <c r="D148" t="s">
        <v>17</v>
      </c>
      <c r="E148" t="s">
        <v>25</v>
      </c>
      <c r="F148" t="s">
        <v>29</v>
      </c>
      <c r="G148" t="s">
        <v>39</v>
      </c>
      <c r="H148" t="s">
        <v>40</v>
      </c>
      <c r="I148">
        <v>16</v>
      </c>
      <c r="J148" s="6">
        <v>1349.22</v>
      </c>
      <c r="K148" s="6">
        <v>21587.52</v>
      </c>
      <c r="L148" t="s">
        <v>22</v>
      </c>
      <c r="M148" t="s">
        <v>22</v>
      </c>
      <c r="N148" s="3">
        <v>46203</v>
      </c>
      <c r="O148" s="6">
        <v>21587.52</v>
      </c>
    </row>
    <row r="149" spans="1:15" x14ac:dyDescent="0.3">
      <c r="A149" t="s">
        <v>190</v>
      </c>
      <c r="B149" s="3">
        <v>45709</v>
      </c>
      <c r="C149" t="s">
        <v>114</v>
      </c>
      <c r="D149" t="s">
        <v>49</v>
      </c>
      <c r="E149" t="s">
        <v>28</v>
      </c>
      <c r="F149" t="s">
        <v>38</v>
      </c>
      <c r="G149" t="s">
        <v>39</v>
      </c>
      <c r="H149" t="s">
        <v>40</v>
      </c>
      <c r="I149">
        <v>16</v>
      </c>
      <c r="J149" s="6">
        <v>532.5</v>
      </c>
      <c r="K149" s="6">
        <v>8520</v>
      </c>
      <c r="L149" t="s">
        <v>22</v>
      </c>
      <c r="M149" t="s">
        <v>22</v>
      </c>
      <c r="N149" s="3">
        <v>46203</v>
      </c>
      <c r="O149" s="6">
        <v>8520</v>
      </c>
    </row>
    <row r="150" spans="1:15" x14ac:dyDescent="0.3">
      <c r="A150" t="s">
        <v>191</v>
      </c>
      <c r="B150" s="3">
        <v>45709</v>
      </c>
      <c r="C150" t="s">
        <v>114</v>
      </c>
      <c r="D150" t="s">
        <v>24</v>
      </c>
      <c r="E150" t="s">
        <v>18</v>
      </c>
      <c r="F150" t="s">
        <v>51</v>
      </c>
      <c r="G150" t="s">
        <v>20</v>
      </c>
      <c r="H150" t="s">
        <v>45</v>
      </c>
      <c r="I150">
        <v>16</v>
      </c>
      <c r="J150" s="6">
        <v>815.81</v>
      </c>
      <c r="K150" s="6">
        <v>13052.96</v>
      </c>
      <c r="L150" t="s">
        <v>22</v>
      </c>
      <c r="M150" t="s">
        <v>22</v>
      </c>
      <c r="N150" s="3">
        <v>46203</v>
      </c>
      <c r="O150" s="6">
        <v>13052.96</v>
      </c>
    </row>
    <row r="151" spans="1:15" x14ac:dyDescent="0.3">
      <c r="A151" t="s">
        <v>192</v>
      </c>
      <c r="B151" s="3">
        <v>45709</v>
      </c>
      <c r="C151" t="s">
        <v>114</v>
      </c>
      <c r="D151" t="s">
        <v>49</v>
      </c>
      <c r="E151" t="s">
        <v>25</v>
      </c>
      <c r="F151" t="s">
        <v>33</v>
      </c>
      <c r="G151" t="s">
        <v>39</v>
      </c>
      <c r="H151" t="s">
        <v>21</v>
      </c>
      <c r="I151">
        <v>16</v>
      </c>
      <c r="J151" s="6">
        <v>520.91</v>
      </c>
      <c r="K151" s="6">
        <v>8334.56</v>
      </c>
      <c r="L151" t="s">
        <v>22</v>
      </c>
      <c r="M151" t="s">
        <v>22</v>
      </c>
      <c r="N151" s="3">
        <v>46203</v>
      </c>
      <c r="O151" s="6">
        <v>8334.56</v>
      </c>
    </row>
    <row r="152" spans="1:15" x14ac:dyDescent="0.3">
      <c r="A152" t="s">
        <v>193</v>
      </c>
      <c r="B152" s="3">
        <v>45709</v>
      </c>
      <c r="C152" t="s">
        <v>114</v>
      </c>
      <c r="D152" t="s">
        <v>24</v>
      </c>
      <c r="E152" t="s">
        <v>25</v>
      </c>
      <c r="F152" t="s">
        <v>51</v>
      </c>
      <c r="G152" t="s">
        <v>39</v>
      </c>
      <c r="H152" t="s">
        <v>21</v>
      </c>
      <c r="I152">
        <v>16</v>
      </c>
      <c r="J152" s="6">
        <v>894.5</v>
      </c>
      <c r="K152" s="6">
        <v>14312</v>
      </c>
      <c r="L152" t="s">
        <v>22</v>
      </c>
      <c r="M152" t="s">
        <v>22</v>
      </c>
      <c r="N152" s="3">
        <v>46203</v>
      </c>
      <c r="O152" s="6">
        <v>14312</v>
      </c>
    </row>
    <row r="153" spans="1:15" x14ac:dyDescent="0.3">
      <c r="A153" t="s">
        <v>194</v>
      </c>
      <c r="B153" s="3">
        <v>45710</v>
      </c>
      <c r="C153" t="s">
        <v>114</v>
      </c>
      <c r="D153" t="s">
        <v>24</v>
      </c>
      <c r="E153" t="s">
        <v>25</v>
      </c>
      <c r="F153" t="s">
        <v>29</v>
      </c>
      <c r="G153" t="s">
        <v>39</v>
      </c>
      <c r="H153" t="s">
        <v>21</v>
      </c>
      <c r="I153">
        <v>16</v>
      </c>
      <c r="J153" s="6">
        <v>949.86</v>
      </c>
      <c r="K153" s="6">
        <v>15197.76</v>
      </c>
      <c r="L153" t="s">
        <v>22</v>
      </c>
      <c r="M153" t="s">
        <v>22</v>
      </c>
      <c r="N153" s="3">
        <v>46203</v>
      </c>
      <c r="O153" s="6">
        <v>15197.76</v>
      </c>
    </row>
    <row r="154" spans="1:15" x14ac:dyDescent="0.3">
      <c r="A154" t="s">
        <v>195</v>
      </c>
      <c r="B154" s="3">
        <v>45710</v>
      </c>
      <c r="C154" t="s">
        <v>114</v>
      </c>
      <c r="D154" t="s">
        <v>49</v>
      </c>
      <c r="E154" t="s">
        <v>25</v>
      </c>
      <c r="F154" t="s">
        <v>33</v>
      </c>
      <c r="G154" t="s">
        <v>20</v>
      </c>
      <c r="H154" t="s">
        <v>21</v>
      </c>
      <c r="I154">
        <v>16</v>
      </c>
      <c r="J154" s="6">
        <v>511.33</v>
      </c>
      <c r="K154" s="6">
        <v>8181.28</v>
      </c>
      <c r="L154" t="s">
        <v>22</v>
      </c>
      <c r="M154" t="s">
        <v>22</v>
      </c>
      <c r="N154" s="3">
        <v>46203</v>
      </c>
      <c r="O154" s="6">
        <v>8181.28</v>
      </c>
    </row>
    <row r="155" spans="1:15" x14ac:dyDescent="0.3">
      <c r="A155" t="s">
        <v>196</v>
      </c>
      <c r="B155" s="3">
        <v>45710</v>
      </c>
      <c r="C155" t="s">
        <v>114</v>
      </c>
      <c r="D155" t="s">
        <v>17</v>
      </c>
      <c r="E155" t="s">
        <v>25</v>
      </c>
      <c r="F155" t="s">
        <v>29</v>
      </c>
      <c r="G155" t="s">
        <v>39</v>
      </c>
      <c r="H155" t="s">
        <v>21</v>
      </c>
      <c r="I155">
        <v>16</v>
      </c>
      <c r="J155" s="6">
        <v>1489.85</v>
      </c>
      <c r="K155" s="6">
        <v>23837.599999999999</v>
      </c>
      <c r="L155" t="s">
        <v>22</v>
      </c>
      <c r="M155" t="s">
        <v>22</v>
      </c>
      <c r="N155" s="3">
        <v>46203</v>
      </c>
      <c r="O155" s="6">
        <v>23837.599999999999</v>
      </c>
    </row>
    <row r="156" spans="1:15" x14ac:dyDescent="0.3">
      <c r="A156" t="s">
        <v>197</v>
      </c>
      <c r="B156" s="3">
        <v>45710</v>
      </c>
      <c r="C156" t="s">
        <v>114</v>
      </c>
      <c r="D156" t="s">
        <v>24</v>
      </c>
      <c r="E156" t="s">
        <v>25</v>
      </c>
      <c r="F156" t="s">
        <v>38</v>
      </c>
      <c r="G156" t="s">
        <v>20</v>
      </c>
      <c r="H156" t="s">
        <v>21</v>
      </c>
      <c r="I156">
        <v>16</v>
      </c>
      <c r="J156" s="6">
        <v>830.1</v>
      </c>
      <c r="K156" s="6">
        <v>13281.6</v>
      </c>
      <c r="L156" t="s">
        <v>22</v>
      </c>
      <c r="M156" t="s">
        <v>22</v>
      </c>
      <c r="N156" s="3">
        <v>46203</v>
      </c>
      <c r="O156" s="6">
        <v>13281.6</v>
      </c>
    </row>
    <row r="157" spans="1:15" x14ac:dyDescent="0.3">
      <c r="A157" t="s">
        <v>198</v>
      </c>
      <c r="B157" s="3">
        <v>45710</v>
      </c>
      <c r="C157" t="s">
        <v>114</v>
      </c>
      <c r="D157" t="s">
        <v>49</v>
      </c>
      <c r="E157" t="s">
        <v>28</v>
      </c>
      <c r="F157" t="s">
        <v>38</v>
      </c>
      <c r="G157" t="s">
        <v>39</v>
      </c>
      <c r="H157" t="s">
        <v>40</v>
      </c>
      <c r="I157">
        <v>10</v>
      </c>
      <c r="J157" s="6">
        <v>509.93</v>
      </c>
      <c r="K157" s="6">
        <v>5099.3</v>
      </c>
      <c r="L157" t="s">
        <v>30</v>
      </c>
      <c r="M157" t="s">
        <v>41</v>
      </c>
      <c r="N157" s="3">
        <v>46018</v>
      </c>
      <c r="O157" s="6">
        <v>5099.3</v>
      </c>
    </row>
    <row r="158" spans="1:15" x14ac:dyDescent="0.3">
      <c r="A158" t="s">
        <v>199</v>
      </c>
      <c r="B158" s="3">
        <v>45711</v>
      </c>
      <c r="C158" t="s">
        <v>114</v>
      </c>
      <c r="D158" t="s">
        <v>24</v>
      </c>
      <c r="E158" t="s">
        <v>25</v>
      </c>
      <c r="F158" t="s">
        <v>19</v>
      </c>
      <c r="G158" t="s">
        <v>39</v>
      </c>
      <c r="H158" t="s">
        <v>34</v>
      </c>
      <c r="I158">
        <v>16</v>
      </c>
      <c r="J158" s="6">
        <v>829.78</v>
      </c>
      <c r="K158" s="6">
        <v>13276.48</v>
      </c>
      <c r="L158" t="s">
        <v>22</v>
      </c>
      <c r="M158" t="s">
        <v>22</v>
      </c>
      <c r="N158" s="3">
        <v>46203</v>
      </c>
      <c r="O158" s="6">
        <v>13276.48</v>
      </c>
    </row>
    <row r="159" spans="1:15" x14ac:dyDescent="0.3">
      <c r="A159" t="s">
        <v>200</v>
      </c>
      <c r="B159" s="3">
        <v>45711</v>
      </c>
      <c r="C159" t="s">
        <v>114</v>
      </c>
      <c r="D159" t="s">
        <v>24</v>
      </c>
      <c r="E159" t="s">
        <v>25</v>
      </c>
      <c r="F159" t="s">
        <v>38</v>
      </c>
      <c r="G159" t="s">
        <v>39</v>
      </c>
      <c r="H159" t="s">
        <v>34</v>
      </c>
      <c r="I159">
        <v>16</v>
      </c>
      <c r="J159" s="6">
        <v>969.71</v>
      </c>
      <c r="K159" s="6">
        <v>15515.36</v>
      </c>
      <c r="L159" t="s">
        <v>22</v>
      </c>
      <c r="M159" t="s">
        <v>22</v>
      </c>
      <c r="N159" s="3">
        <v>46203</v>
      </c>
      <c r="O159" s="6">
        <v>15515.36</v>
      </c>
    </row>
    <row r="160" spans="1:15" x14ac:dyDescent="0.3">
      <c r="A160" t="s">
        <v>201</v>
      </c>
      <c r="B160" s="3">
        <v>45711</v>
      </c>
      <c r="C160" t="s">
        <v>114</v>
      </c>
      <c r="D160" t="s">
        <v>49</v>
      </c>
      <c r="E160" t="s">
        <v>18</v>
      </c>
      <c r="F160" t="s">
        <v>19</v>
      </c>
      <c r="G160" t="s">
        <v>39</v>
      </c>
      <c r="H160" t="s">
        <v>21</v>
      </c>
      <c r="I160">
        <v>16</v>
      </c>
      <c r="J160" s="6">
        <v>469.53</v>
      </c>
      <c r="K160" s="6">
        <v>7512.48</v>
      </c>
      <c r="L160" t="s">
        <v>22</v>
      </c>
      <c r="M160" t="s">
        <v>22</v>
      </c>
      <c r="N160" s="3">
        <v>46203</v>
      </c>
      <c r="O160" s="6">
        <v>7512.48</v>
      </c>
    </row>
    <row r="161" spans="1:15" x14ac:dyDescent="0.3">
      <c r="A161" t="s">
        <v>202</v>
      </c>
      <c r="B161" s="3">
        <v>45712</v>
      </c>
      <c r="C161" t="s">
        <v>114</v>
      </c>
      <c r="D161" t="s">
        <v>24</v>
      </c>
      <c r="E161" t="s">
        <v>28</v>
      </c>
      <c r="F161" t="s">
        <v>33</v>
      </c>
      <c r="G161" t="s">
        <v>26</v>
      </c>
      <c r="H161" t="s">
        <v>34</v>
      </c>
      <c r="I161">
        <v>16</v>
      </c>
      <c r="J161" s="6">
        <v>907.28</v>
      </c>
      <c r="K161" s="6">
        <v>14516.48</v>
      </c>
      <c r="L161" t="s">
        <v>22</v>
      </c>
      <c r="M161" t="s">
        <v>22</v>
      </c>
      <c r="N161" s="3">
        <v>46203</v>
      </c>
      <c r="O161" s="6">
        <v>14516.48</v>
      </c>
    </row>
    <row r="162" spans="1:15" x14ac:dyDescent="0.3">
      <c r="A162" t="s">
        <v>203</v>
      </c>
      <c r="B162" s="3">
        <v>45712</v>
      </c>
      <c r="C162" t="s">
        <v>114</v>
      </c>
      <c r="D162" t="s">
        <v>24</v>
      </c>
      <c r="E162" t="s">
        <v>18</v>
      </c>
      <c r="F162" t="s">
        <v>29</v>
      </c>
      <c r="G162" t="s">
        <v>39</v>
      </c>
      <c r="H162" t="s">
        <v>21</v>
      </c>
      <c r="I162">
        <v>16</v>
      </c>
      <c r="J162" s="6">
        <v>865.59</v>
      </c>
      <c r="K162" s="6">
        <v>13849.44</v>
      </c>
      <c r="L162" t="s">
        <v>22</v>
      </c>
      <c r="M162" t="s">
        <v>22</v>
      </c>
      <c r="N162" s="3">
        <v>46203</v>
      </c>
      <c r="O162" s="6">
        <v>13849.44</v>
      </c>
    </row>
    <row r="163" spans="1:15" x14ac:dyDescent="0.3">
      <c r="A163" t="s">
        <v>204</v>
      </c>
      <c r="B163" s="3">
        <v>45713</v>
      </c>
      <c r="C163" t="s">
        <v>114</v>
      </c>
      <c r="D163" t="s">
        <v>24</v>
      </c>
      <c r="E163" t="s">
        <v>25</v>
      </c>
      <c r="F163" t="s">
        <v>19</v>
      </c>
      <c r="G163" t="s">
        <v>20</v>
      </c>
      <c r="H163" t="s">
        <v>40</v>
      </c>
      <c r="I163">
        <v>16</v>
      </c>
      <c r="J163" s="6">
        <v>913.64</v>
      </c>
      <c r="K163" s="6">
        <v>14618.24</v>
      </c>
      <c r="L163" t="s">
        <v>22</v>
      </c>
      <c r="M163" t="s">
        <v>22</v>
      </c>
      <c r="N163" s="3">
        <v>46203</v>
      </c>
      <c r="O163" s="6">
        <v>14618.24</v>
      </c>
    </row>
    <row r="164" spans="1:15" x14ac:dyDescent="0.3">
      <c r="A164" t="s">
        <v>205</v>
      </c>
      <c r="B164" s="3">
        <v>45713</v>
      </c>
      <c r="C164" t="s">
        <v>114</v>
      </c>
      <c r="D164" t="s">
        <v>24</v>
      </c>
      <c r="E164" t="s">
        <v>28</v>
      </c>
      <c r="F164" t="s">
        <v>33</v>
      </c>
      <c r="G164" t="s">
        <v>39</v>
      </c>
      <c r="H164" t="s">
        <v>45</v>
      </c>
      <c r="I164">
        <v>16</v>
      </c>
      <c r="J164" s="6">
        <v>824.36</v>
      </c>
      <c r="K164" s="6">
        <v>13189.76</v>
      </c>
      <c r="L164" t="s">
        <v>22</v>
      </c>
      <c r="M164" t="s">
        <v>22</v>
      </c>
      <c r="N164" s="3">
        <v>46203</v>
      </c>
      <c r="O164" s="6">
        <v>13189.76</v>
      </c>
    </row>
    <row r="165" spans="1:15" x14ac:dyDescent="0.3">
      <c r="A165" t="s">
        <v>206</v>
      </c>
      <c r="B165" s="3">
        <v>45713</v>
      </c>
      <c r="C165" t="s">
        <v>114</v>
      </c>
      <c r="D165" t="s">
        <v>49</v>
      </c>
      <c r="E165" t="s">
        <v>18</v>
      </c>
      <c r="F165" t="s">
        <v>38</v>
      </c>
      <c r="G165" t="s">
        <v>39</v>
      </c>
      <c r="H165" t="s">
        <v>21</v>
      </c>
      <c r="I165">
        <v>16</v>
      </c>
      <c r="J165" s="6">
        <v>486.33</v>
      </c>
      <c r="K165" s="6">
        <v>7781.28</v>
      </c>
      <c r="L165" t="s">
        <v>22</v>
      </c>
      <c r="M165" t="s">
        <v>22</v>
      </c>
      <c r="N165" s="3">
        <v>46203</v>
      </c>
      <c r="O165" s="6">
        <v>7781.28</v>
      </c>
    </row>
    <row r="166" spans="1:15" x14ac:dyDescent="0.3">
      <c r="A166" t="s">
        <v>207</v>
      </c>
      <c r="B166" s="3">
        <v>45713</v>
      </c>
      <c r="C166" t="s">
        <v>114</v>
      </c>
      <c r="D166" t="s">
        <v>24</v>
      </c>
      <c r="E166" t="s">
        <v>28</v>
      </c>
      <c r="F166" t="s">
        <v>38</v>
      </c>
      <c r="G166" t="s">
        <v>20</v>
      </c>
      <c r="H166" t="s">
        <v>21</v>
      </c>
      <c r="I166">
        <v>16</v>
      </c>
      <c r="J166" s="6">
        <v>852.76</v>
      </c>
      <c r="K166" s="6">
        <v>13644.16</v>
      </c>
      <c r="L166" t="s">
        <v>22</v>
      </c>
      <c r="M166" t="s">
        <v>22</v>
      </c>
      <c r="N166" s="3">
        <v>46203</v>
      </c>
      <c r="O166" s="6">
        <v>13644.16</v>
      </c>
    </row>
    <row r="167" spans="1:15" x14ac:dyDescent="0.3">
      <c r="A167" t="s">
        <v>208</v>
      </c>
      <c r="B167" s="3">
        <v>45714</v>
      </c>
      <c r="C167" t="s">
        <v>114</v>
      </c>
      <c r="D167" t="s">
        <v>24</v>
      </c>
      <c r="E167" t="s">
        <v>28</v>
      </c>
      <c r="F167" t="s">
        <v>29</v>
      </c>
      <c r="G167" t="s">
        <v>26</v>
      </c>
      <c r="H167" t="s">
        <v>34</v>
      </c>
      <c r="I167">
        <v>11</v>
      </c>
      <c r="J167" s="6">
        <v>868.95</v>
      </c>
      <c r="K167" s="6">
        <v>9558.4500000000007</v>
      </c>
      <c r="L167" t="s">
        <v>30</v>
      </c>
      <c r="M167" t="s">
        <v>36</v>
      </c>
      <c r="N167" s="3">
        <v>46061</v>
      </c>
      <c r="O167" s="6">
        <v>9558.4500000000007</v>
      </c>
    </row>
    <row r="168" spans="1:15" x14ac:dyDescent="0.3">
      <c r="A168" t="s">
        <v>209</v>
      </c>
      <c r="B168" s="3">
        <v>45714</v>
      </c>
      <c r="C168" t="s">
        <v>114</v>
      </c>
      <c r="D168" t="s">
        <v>24</v>
      </c>
      <c r="E168" t="s">
        <v>18</v>
      </c>
      <c r="F168" t="s">
        <v>19</v>
      </c>
      <c r="G168" t="s">
        <v>39</v>
      </c>
      <c r="H168" t="s">
        <v>21</v>
      </c>
      <c r="I168">
        <v>16</v>
      </c>
      <c r="J168" s="6">
        <v>966.72</v>
      </c>
      <c r="K168" s="6">
        <v>15467.52</v>
      </c>
      <c r="L168" t="s">
        <v>22</v>
      </c>
      <c r="M168" t="s">
        <v>22</v>
      </c>
      <c r="N168" s="3">
        <v>46203</v>
      </c>
      <c r="O168" s="6">
        <v>15467.52</v>
      </c>
    </row>
    <row r="169" spans="1:15" x14ac:dyDescent="0.3">
      <c r="A169" t="s">
        <v>210</v>
      </c>
      <c r="B169" s="3">
        <v>45714</v>
      </c>
      <c r="C169" t="s">
        <v>114</v>
      </c>
      <c r="D169" t="s">
        <v>24</v>
      </c>
      <c r="E169" t="s">
        <v>50</v>
      </c>
      <c r="F169" t="s">
        <v>29</v>
      </c>
      <c r="G169" t="s">
        <v>39</v>
      </c>
      <c r="H169" t="s">
        <v>34</v>
      </c>
      <c r="I169">
        <v>16</v>
      </c>
      <c r="J169" s="6">
        <v>849.55</v>
      </c>
      <c r="K169" s="6">
        <v>13592.8</v>
      </c>
      <c r="L169" t="s">
        <v>22</v>
      </c>
      <c r="M169" t="s">
        <v>22</v>
      </c>
      <c r="N169" s="3">
        <v>46203</v>
      </c>
      <c r="O169" s="6">
        <v>13592.8</v>
      </c>
    </row>
    <row r="170" spans="1:15" x14ac:dyDescent="0.3">
      <c r="A170" t="s">
        <v>211</v>
      </c>
      <c r="B170" s="3">
        <v>45714</v>
      </c>
      <c r="C170" t="s">
        <v>114</v>
      </c>
      <c r="D170" t="s">
        <v>17</v>
      </c>
      <c r="E170" t="s">
        <v>25</v>
      </c>
      <c r="F170" t="s">
        <v>19</v>
      </c>
      <c r="G170" t="s">
        <v>39</v>
      </c>
      <c r="H170" t="s">
        <v>21</v>
      </c>
      <c r="I170">
        <v>11</v>
      </c>
      <c r="J170" s="6">
        <v>1574.88</v>
      </c>
      <c r="K170" s="6">
        <v>17323.68</v>
      </c>
      <c r="L170" t="s">
        <v>30</v>
      </c>
      <c r="M170" t="s">
        <v>31</v>
      </c>
      <c r="N170" s="3">
        <v>46064</v>
      </c>
      <c r="O170" s="6">
        <v>17323.68</v>
      </c>
    </row>
    <row r="171" spans="1:15" x14ac:dyDescent="0.3">
      <c r="A171" t="s">
        <v>212</v>
      </c>
      <c r="B171" s="3">
        <v>45714</v>
      </c>
      <c r="C171" t="s">
        <v>114</v>
      </c>
      <c r="D171" t="s">
        <v>24</v>
      </c>
      <c r="E171" t="s">
        <v>25</v>
      </c>
      <c r="F171" t="s">
        <v>29</v>
      </c>
      <c r="G171" t="s">
        <v>20</v>
      </c>
      <c r="H171" t="s">
        <v>21</v>
      </c>
      <c r="I171">
        <v>16</v>
      </c>
      <c r="J171" s="6">
        <v>831.47</v>
      </c>
      <c r="K171" s="6">
        <v>13303.52</v>
      </c>
      <c r="L171" t="s">
        <v>22</v>
      </c>
      <c r="M171" t="s">
        <v>22</v>
      </c>
      <c r="N171" s="3">
        <v>46203</v>
      </c>
      <c r="O171" s="6">
        <v>13303.52</v>
      </c>
    </row>
    <row r="172" spans="1:15" x14ac:dyDescent="0.3">
      <c r="A172" t="s">
        <v>213</v>
      </c>
      <c r="B172" s="3">
        <v>45715</v>
      </c>
      <c r="C172" t="s">
        <v>114</v>
      </c>
      <c r="D172" t="s">
        <v>17</v>
      </c>
      <c r="E172" t="s">
        <v>25</v>
      </c>
      <c r="F172" t="s">
        <v>19</v>
      </c>
      <c r="G172" t="s">
        <v>20</v>
      </c>
      <c r="H172" t="s">
        <v>34</v>
      </c>
      <c r="I172">
        <v>16</v>
      </c>
      <c r="J172" s="6">
        <v>1462.62</v>
      </c>
      <c r="K172" s="6">
        <v>23401.919999999998</v>
      </c>
      <c r="L172" t="s">
        <v>22</v>
      </c>
      <c r="M172" t="s">
        <v>22</v>
      </c>
      <c r="N172" s="3">
        <v>46203</v>
      </c>
      <c r="O172" s="6">
        <v>23401.919999999998</v>
      </c>
    </row>
    <row r="173" spans="1:15" x14ac:dyDescent="0.3">
      <c r="A173" t="s">
        <v>214</v>
      </c>
      <c r="B173" s="3">
        <v>45715</v>
      </c>
      <c r="C173" t="s">
        <v>114</v>
      </c>
      <c r="D173" t="s">
        <v>24</v>
      </c>
      <c r="E173" t="s">
        <v>50</v>
      </c>
      <c r="F173" t="s">
        <v>38</v>
      </c>
      <c r="G173" t="s">
        <v>20</v>
      </c>
      <c r="H173" t="s">
        <v>34</v>
      </c>
      <c r="I173">
        <v>16</v>
      </c>
      <c r="J173" s="6">
        <v>980.76</v>
      </c>
      <c r="K173" s="6">
        <v>15692.16</v>
      </c>
      <c r="L173" t="s">
        <v>22</v>
      </c>
      <c r="M173" t="s">
        <v>22</v>
      </c>
      <c r="N173" s="3">
        <v>46203</v>
      </c>
      <c r="O173" s="6">
        <v>15692.16</v>
      </c>
    </row>
    <row r="174" spans="1:15" x14ac:dyDescent="0.3">
      <c r="A174" t="s">
        <v>215</v>
      </c>
      <c r="B174" s="3">
        <v>45715</v>
      </c>
      <c r="C174" t="s">
        <v>114</v>
      </c>
      <c r="D174" t="s">
        <v>49</v>
      </c>
      <c r="E174" t="s">
        <v>28</v>
      </c>
      <c r="F174" t="s">
        <v>29</v>
      </c>
      <c r="G174" t="s">
        <v>20</v>
      </c>
      <c r="H174" t="s">
        <v>34</v>
      </c>
      <c r="I174">
        <v>3</v>
      </c>
      <c r="J174" s="6">
        <v>499.69</v>
      </c>
      <c r="K174" s="6">
        <v>1499.07</v>
      </c>
      <c r="L174" t="s">
        <v>30</v>
      </c>
      <c r="M174" t="s">
        <v>80</v>
      </c>
      <c r="N174" s="3">
        <v>45818</v>
      </c>
      <c r="O174" s="6">
        <v>1499.07</v>
      </c>
    </row>
    <row r="175" spans="1:15" x14ac:dyDescent="0.3">
      <c r="A175" t="s">
        <v>216</v>
      </c>
      <c r="B175" s="3">
        <v>45716</v>
      </c>
      <c r="C175" t="s">
        <v>114</v>
      </c>
      <c r="D175" t="s">
        <v>24</v>
      </c>
      <c r="E175" t="s">
        <v>28</v>
      </c>
      <c r="F175" t="s">
        <v>38</v>
      </c>
      <c r="G175" t="s">
        <v>39</v>
      </c>
      <c r="H175" t="s">
        <v>21</v>
      </c>
      <c r="I175">
        <v>16</v>
      </c>
      <c r="J175" s="6">
        <v>913.04</v>
      </c>
      <c r="K175" s="6">
        <v>14608.64</v>
      </c>
      <c r="L175" t="s">
        <v>22</v>
      </c>
      <c r="M175" t="s">
        <v>22</v>
      </c>
      <c r="N175" s="3">
        <v>46203</v>
      </c>
      <c r="O175" s="6">
        <v>14608.64</v>
      </c>
    </row>
    <row r="176" spans="1:15" x14ac:dyDescent="0.3">
      <c r="A176" t="s">
        <v>217</v>
      </c>
      <c r="B176" s="3">
        <v>45716</v>
      </c>
      <c r="C176" t="s">
        <v>114</v>
      </c>
      <c r="D176" t="s">
        <v>49</v>
      </c>
      <c r="E176" t="s">
        <v>28</v>
      </c>
      <c r="F176" t="s">
        <v>33</v>
      </c>
      <c r="G176" t="s">
        <v>39</v>
      </c>
      <c r="H176" t="s">
        <v>34</v>
      </c>
      <c r="I176">
        <v>16</v>
      </c>
      <c r="J176" s="6">
        <v>481.47</v>
      </c>
      <c r="K176" s="6">
        <v>7703.52</v>
      </c>
      <c r="L176" t="s">
        <v>22</v>
      </c>
      <c r="M176" t="s">
        <v>22</v>
      </c>
      <c r="N176" s="3">
        <v>46203</v>
      </c>
      <c r="O176" s="6">
        <v>7703.52</v>
      </c>
    </row>
    <row r="177" spans="1:15" x14ac:dyDescent="0.3">
      <c r="A177" t="s">
        <v>218</v>
      </c>
      <c r="B177" s="3">
        <v>45716</v>
      </c>
      <c r="C177" t="s">
        <v>114</v>
      </c>
      <c r="D177" t="s">
        <v>17</v>
      </c>
      <c r="E177" t="s">
        <v>25</v>
      </c>
      <c r="F177" t="s">
        <v>19</v>
      </c>
      <c r="G177" t="s">
        <v>26</v>
      </c>
      <c r="H177" t="s">
        <v>21</v>
      </c>
      <c r="I177">
        <v>16</v>
      </c>
      <c r="J177" s="6">
        <v>1612.69</v>
      </c>
      <c r="K177" s="6">
        <v>25803.040000000001</v>
      </c>
      <c r="L177" t="s">
        <v>22</v>
      </c>
      <c r="M177" t="s">
        <v>22</v>
      </c>
      <c r="N177" s="3">
        <v>46203</v>
      </c>
      <c r="O177" s="6">
        <v>25803.040000000001</v>
      </c>
    </row>
    <row r="178" spans="1:15" x14ac:dyDescent="0.3">
      <c r="A178" t="s">
        <v>219</v>
      </c>
      <c r="B178" s="3">
        <v>45718</v>
      </c>
      <c r="C178" t="s">
        <v>220</v>
      </c>
      <c r="D178" t="s">
        <v>17</v>
      </c>
      <c r="E178" t="s">
        <v>18</v>
      </c>
      <c r="F178" t="s">
        <v>29</v>
      </c>
      <c r="G178" t="s">
        <v>39</v>
      </c>
      <c r="H178" t="s">
        <v>21</v>
      </c>
      <c r="I178">
        <v>16</v>
      </c>
      <c r="J178" s="6">
        <v>1580.78</v>
      </c>
      <c r="K178" s="6">
        <v>25292.48</v>
      </c>
      <c r="L178" t="s">
        <v>22</v>
      </c>
      <c r="M178" t="s">
        <v>22</v>
      </c>
      <c r="N178" s="3">
        <v>46203</v>
      </c>
      <c r="O178" s="6">
        <v>25292.48</v>
      </c>
    </row>
    <row r="179" spans="1:15" x14ac:dyDescent="0.3">
      <c r="A179" t="s">
        <v>221</v>
      </c>
      <c r="B179" s="3">
        <v>45718</v>
      </c>
      <c r="C179" t="s">
        <v>220</v>
      </c>
      <c r="D179" t="s">
        <v>17</v>
      </c>
      <c r="E179" t="s">
        <v>25</v>
      </c>
      <c r="F179" t="s">
        <v>33</v>
      </c>
      <c r="G179" t="s">
        <v>39</v>
      </c>
      <c r="H179" t="s">
        <v>21</v>
      </c>
      <c r="I179">
        <v>16</v>
      </c>
      <c r="J179" s="6">
        <v>1616.49</v>
      </c>
      <c r="K179" s="6">
        <v>25863.84</v>
      </c>
      <c r="L179" t="s">
        <v>22</v>
      </c>
      <c r="M179" t="s">
        <v>22</v>
      </c>
      <c r="N179" s="3">
        <v>46203</v>
      </c>
      <c r="O179" s="6">
        <v>25863.84</v>
      </c>
    </row>
    <row r="180" spans="1:15" x14ac:dyDescent="0.3">
      <c r="A180" t="s">
        <v>222</v>
      </c>
      <c r="B180" s="3">
        <v>45718</v>
      </c>
      <c r="C180" t="s">
        <v>220</v>
      </c>
      <c r="D180" t="s">
        <v>17</v>
      </c>
      <c r="E180" t="s">
        <v>18</v>
      </c>
      <c r="F180" t="s">
        <v>29</v>
      </c>
      <c r="G180" t="s">
        <v>39</v>
      </c>
      <c r="H180" t="s">
        <v>34</v>
      </c>
      <c r="I180">
        <v>16</v>
      </c>
      <c r="J180" s="6">
        <v>1584.54</v>
      </c>
      <c r="K180" s="6">
        <v>25352.639999999999</v>
      </c>
      <c r="L180" t="s">
        <v>22</v>
      </c>
      <c r="M180" t="s">
        <v>22</v>
      </c>
      <c r="N180" s="3">
        <v>46203</v>
      </c>
      <c r="O180" s="6">
        <v>25352.639999999999</v>
      </c>
    </row>
    <row r="181" spans="1:15" x14ac:dyDescent="0.3">
      <c r="A181" t="s">
        <v>223</v>
      </c>
      <c r="B181" s="3">
        <v>45718</v>
      </c>
      <c r="C181" t="s">
        <v>220</v>
      </c>
      <c r="D181" t="s">
        <v>24</v>
      </c>
      <c r="E181" t="s">
        <v>28</v>
      </c>
      <c r="F181" t="s">
        <v>33</v>
      </c>
      <c r="G181" t="s">
        <v>39</v>
      </c>
      <c r="H181" t="s">
        <v>34</v>
      </c>
      <c r="I181">
        <v>14</v>
      </c>
      <c r="J181" s="6">
        <v>891.09</v>
      </c>
      <c r="K181" s="6">
        <v>12475.26</v>
      </c>
      <c r="L181" t="s">
        <v>30</v>
      </c>
      <c r="M181" t="s">
        <v>43</v>
      </c>
      <c r="N181" s="3">
        <v>46136</v>
      </c>
      <c r="O181" s="6">
        <v>12475.26</v>
      </c>
    </row>
    <row r="182" spans="1:15" x14ac:dyDescent="0.3">
      <c r="A182" t="s">
        <v>224</v>
      </c>
      <c r="B182" s="3">
        <v>45718</v>
      </c>
      <c r="C182" t="s">
        <v>220</v>
      </c>
      <c r="D182" t="s">
        <v>17</v>
      </c>
      <c r="E182" t="s">
        <v>18</v>
      </c>
      <c r="F182" t="s">
        <v>19</v>
      </c>
      <c r="G182" t="s">
        <v>20</v>
      </c>
      <c r="H182" t="s">
        <v>21</v>
      </c>
      <c r="I182">
        <v>16</v>
      </c>
      <c r="J182" s="6">
        <v>1637.45</v>
      </c>
      <c r="K182" s="6">
        <v>26199.200000000001</v>
      </c>
      <c r="L182" t="s">
        <v>22</v>
      </c>
      <c r="M182" t="s">
        <v>22</v>
      </c>
      <c r="N182" s="3">
        <v>46203</v>
      </c>
      <c r="O182" s="6">
        <v>26199.200000000001</v>
      </c>
    </row>
    <row r="183" spans="1:15" x14ac:dyDescent="0.3">
      <c r="A183" t="s">
        <v>225</v>
      </c>
      <c r="B183" s="3">
        <v>45718</v>
      </c>
      <c r="C183" t="s">
        <v>220</v>
      </c>
      <c r="D183" t="s">
        <v>17</v>
      </c>
      <c r="E183" t="s">
        <v>25</v>
      </c>
      <c r="F183" t="s">
        <v>29</v>
      </c>
      <c r="G183" t="s">
        <v>20</v>
      </c>
      <c r="H183" t="s">
        <v>40</v>
      </c>
      <c r="I183">
        <v>16</v>
      </c>
      <c r="J183" s="6">
        <v>1555.03</v>
      </c>
      <c r="K183" s="6">
        <v>24880.48</v>
      </c>
      <c r="L183" t="s">
        <v>22</v>
      </c>
      <c r="M183" t="s">
        <v>22</v>
      </c>
      <c r="N183" s="3">
        <v>46203</v>
      </c>
      <c r="O183" s="6">
        <v>24880.48</v>
      </c>
    </row>
    <row r="184" spans="1:15" x14ac:dyDescent="0.3">
      <c r="A184" t="s">
        <v>226</v>
      </c>
      <c r="B184" s="3">
        <v>45718</v>
      </c>
      <c r="C184" t="s">
        <v>220</v>
      </c>
      <c r="D184" t="s">
        <v>24</v>
      </c>
      <c r="E184" t="s">
        <v>28</v>
      </c>
      <c r="F184" t="s">
        <v>29</v>
      </c>
      <c r="G184" t="s">
        <v>39</v>
      </c>
      <c r="H184" t="s">
        <v>21</v>
      </c>
      <c r="I184">
        <v>16</v>
      </c>
      <c r="J184" s="6">
        <v>821.66</v>
      </c>
      <c r="K184" s="6">
        <v>13146.56</v>
      </c>
      <c r="L184" t="s">
        <v>22</v>
      </c>
      <c r="M184" t="s">
        <v>22</v>
      </c>
      <c r="N184" s="3">
        <v>46203</v>
      </c>
      <c r="O184" s="6">
        <v>13146.56</v>
      </c>
    </row>
    <row r="185" spans="1:15" x14ac:dyDescent="0.3">
      <c r="A185" t="s">
        <v>227</v>
      </c>
      <c r="B185" s="3">
        <v>45719</v>
      </c>
      <c r="C185" t="s">
        <v>220</v>
      </c>
      <c r="D185" t="s">
        <v>17</v>
      </c>
      <c r="E185" t="s">
        <v>50</v>
      </c>
      <c r="F185" t="s">
        <v>51</v>
      </c>
      <c r="G185" t="s">
        <v>39</v>
      </c>
      <c r="H185" t="s">
        <v>21</v>
      </c>
      <c r="I185">
        <v>1</v>
      </c>
      <c r="J185" s="6">
        <v>1516.63</v>
      </c>
      <c r="K185" s="6">
        <v>1516.63</v>
      </c>
      <c r="L185" t="s">
        <v>30</v>
      </c>
      <c r="M185" t="s">
        <v>31</v>
      </c>
      <c r="N185" s="3">
        <v>45750</v>
      </c>
      <c r="O185" s="6">
        <v>1516.63</v>
      </c>
    </row>
    <row r="186" spans="1:15" x14ac:dyDescent="0.3">
      <c r="A186" t="s">
        <v>228</v>
      </c>
      <c r="B186" s="3">
        <v>45719</v>
      </c>
      <c r="C186" t="s">
        <v>220</v>
      </c>
      <c r="D186" t="s">
        <v>49</v>
      </c>
      <c r="E186" t="s">
        <v>28</v>
      </c>
      <c r="F186" t="s">
        <v>33</v>
      </c>
      <c r="G186" t="s">
        <v>26</v>
      </c>
      <c r="H186" t="s">
        <v>21</v>
      </c>
      <c r="I186">
        <v>8</v>
      </c>
      <c r="J186" s="6">
        <v>468.9</v>
      </c>
      <c r="K186" s="6">
        <v>3751.2</v>
      </c>
      <c r="L186" t="s">
        <v>30</v>
      </c>
      <c r="M186" t="s">
        <v>31</v>
      </c>
      <c r="N186" s="3">
        <v>45948</v>
      </c>
      <c r="O186" s="6">
        <v>3751.2</v>
      </c>
    </row>
    <row r="187" spans="1:15" x14ac:dyDescent="0.3">
      <c r="A187" t="s">
        <v>229</v>
      </c>
      <c r="B187" s="3">
        <v>45720</v>
      </c>
      <c r="C187" t="s">
        <v>220</v>
      </c>
      <c r="D187" t="s">
        <v>24</v>
      </c>
      <c r="E187" t="s">
        <v>25</v>
      </c>
      <c r="F187" t="s">
        <v>19</v>
      </c>
      <c r="G187" t="s">
        <v>39</v>
      </c>
      <c r="H187" t="s">
        <v>40</v>
      </c>
      <c r="I187">
        <v>16</v>
      </c>
      <c r="J187" s="6">
        <v>842.54</v>
      </c>
      <c r="K187" s="6">
        <v>13480.64</v>
      </c>
      <c r="L187" t="s">
        <v>22</v>
      </c>
      <c r="M187" t="s">
        <v>22</v>
      </c>
      <c r="N187" s="3">
        <v>46203</v>
      </c>
      <c r="O187" s="6">
        <v>13480.64</v>
      </c>
    </row>
    <row r="188" spans="1:15" x14ac:dyDescent="0.3">
      <c r="A188" t="s">
        <v>230</v>
      </c>
      <c r="B188" s="3">
        <v>45720</v>
      </c>
      <c r="C188" t="s">
        <v>220</v>
      </c>
      <c r="D188" t="s">
        <v>49</v>
      </c>
      <c r="E188" t="s">
        <v>25</v>
      </c>
      <c r="F188" t="s">
        <v>51</v>
      </c>
      <c r="G188" t="s">
        <v>39</v>
      </c>
      <c r="H188" t="s">
        <v>40</v>
      </c>
      <c r="I188">
        <v>16</v>
      </c>
      <c r="J188" s="6">
        <v>540.01</v>
      </c>
      <c r="K188" s="6">
        <v>8640.16</v>
      </c>
      <c r="L188" t="s">
        <v>22</v>
      </c>
      <c r="M188" t="s">
        <v>22</v>
      </c>
      <c r="N188" s="3">
        <v>46203</v>
      </c>
      <c r="O188" s="6">
        <v>8640.16</v>
      </c>
    </row>
    <row r="189" spans="1:15" x14ac:dyDescent="0.3">
      <c r="A189" t="s">
        <v>231</v>
      </c>
      <c r="B189" s="3">
        <v>45721</v>
      </c>
      <c r="C189" t="s">
        <v>220</v>
      </c>
      <c r="D189" t="s">
        <v>24</v>
      </c>
      <c r="E189" t="s">
        <v>25</v>
      </c>
      <c r="F189" t="s">
        <v>19</v>
      </c>
      <c r="G189" t="s">
        <v>39</v>
      </c>
      <c r="H189" t="s">
        <v>21</v>
      </c>
      <c r="I189">
        <v>16</v>
      </c>
      <c r="J189" s="6">
        <v>981.92</v>
      </c>
      <c r="K189" s="6">
        <v>15710.72</v>
      </c>
      <c r="L189" t="s">
        <v>22</v>
      </c>
      <c r="M189" t="s">
        <v>22</v>
      </c>
      <c r="N189" s="3">
        <v>46203</v>
      </c>
      <c r="O189" s="6">
        <v>15710.72</v>
      </c>
    </row>
    <row r="190" spans="1:15" x14ac:dyDescent="0.3">
      <c r="A190" t="s">
        <v>232</v>
      </c>
      <c r="B190" s="3">
        <v>45721</v>
      </c>
      <c r="C190" t="s">
        <v>220</v>
      </c>
      <c r="D190" t="s">
        <v>49</v>
      </c>
      <c r="E190" t="s">
        <v>25</v>
      </c>
      <c r="F190" t="s">
        <v>29</v>
      </c>
      <c r="G190" t="s">
        <v>39</v>
      </c>
      <c r="H190" t="s">
        <v>21</v>
      </c>
      <c r="I190">
        <v>16</v>
      </c>
      <c r="J190" s="6">
        <v>469.93</v>
      </c>
      <c r="K190" s="6">
        <v>7518.88</v>
      </c>
      <c r="L190" t="s">
        <v>22</v>
      </c>
      <c r="M190" t="s">
        <v>22</v>
      </c>
      <c r="N190" s="3">
        <v>46203</v>
      </c>
      <c r="O190" s="6">
        <v>7518.88</v>
      </c>
    </row>
    <row r="191" spans="1:15" x14ac:dyDescent="0.3">
      <c r="A191" t="s">
        <v>233</v>
      </c>
      <c r="B191" s="3">
        <v>45721</v>
      </c>
      <c r="C191" t="s">
        <v>220</v>
      </c>
      <c r="D191" t="s">
        <v>49</v>
      </c>
      <c r="E191" t="s">
        <v>50</v>
      </c>
      <c r="F191" t="s">
        <v>19</v>
      </c>
      <c r="G191" t="s">
        <v>26</v>
      </c>
      <c r="H191" t="s">
        <v>21</v>
      </c>
      <c r="I191">
        <v>16</v>
      </c>
      <c r="J191" s="6">
        <v>473.02</v>
      </c>
      <c r="K191" s="6">
        <v>7568.32</v>
      </c>
      <c r="L191" t="s">
        <v>22</v>
      </c>
      <c r="M191" t="s">
        <v>22</v>
      </c>
      <c r="N191" s="3">
        <v>46203</v>
      </c>
      <c r="O191" s="6">
        <v>7568.32</v>
      </c>
    </row>
    <row r="192" spans="1:15" x14ac:dyDescent="0.3">
      <c r="A192" t="s">
        <v>234</v>
      </c>
      <c r="B192" s="3">
        <v>45721</v>
      </c>
      <c r="C192" t="s">
        <v>220</v>
      </c>
      <c r="D192" t="s">
        <v>24</v>
      </c>
      <c r="E192" t="s">
        <v>50</v>
      </c>
      <c r="F192" t="s">
        <v>29</v>
      </c>
      <c r="G192" t="s">
        <v>26</v>
      </c>
      <c r="H192" t="s">
        <v>21</v>
      </c>
      <c r="I192">
        <v>16</v>
      </c>
      <c r="J192" s="6">
        <v>988.3</v>
      </c>
      <c r="K192" s="6">
        <v>15812.8</v>
      </c>
      <c r="L192" t="s">
        <v>22</v>
      </c>
      <c r="M192" t="s">
        <v>22</v>
      </c>
      <c r="N192" s="3">
        <v>46203</v>
      </c>
      <c r="O192" s="6">
        <v>15812.8</v>
      </c>
    </row>
    <row r="193" spans="1:15" x14ac:dyDescent="0.3">
      <c r="A193" t="s">
        <v>235</v>
      </c>
      <c r="B193" s="3">
        <v>45722</v>
      </c>
      <c r="C193" t="s">
        <v>220</v>
      </c>
      <c r="D193" t="s">
        <v>24</v>
      </c>
      <c r="E193" t="s">
        <v>28</v>
      </c>
      <c r="F193" t="s">
        <v>51</v>
      </c>
      <c r="G193" t="s">
        <v>20</v>
      </c>
      <c r="H193" t="s">
        <v>21</v>
      </c>
      <c r="I193">
        <v>16</v>
      </c>
      <c r="J193" s="6">
        <v>862.81</v>
      </c>
      <c r="K193" s="6">
        <v>13804.96</v>
      </c>
      <c r="L193" t="s">
        <v>22</v>
      </c>
      <c r="M193" t="s">
        <v>22</v>
      </c>
      <c r="N193" s="3">
        <v>46203</v>
      </c>
      <c r="O193" s="6">
        <v>13804.96</v>
      </c>
    </row>
    <row r="194" spans="1:15" x14ac:dyDescent="0.3">
      <c r="A194" t="s">
        <v>236</v>
      </c>
      <c r="B194" s="3">
        <v>45722</v>
      </c>
      <c r="C194" t="s">
        <v>220</v>
      </c>
      <c r="D194" t="s">
        <v>49</v>
      </c>
      <c r="E194" t="s">
        <v>18</v>
      </c>
      <c r="F194" t="s">
        <v>33</v>
      </c>
      <c r="G194" t="s">
        <v>26</v>
      </c>
      <c r="H194" t="s">
        <v>40</v>
      </c>
      <c r="I194">
        <v>16</v>
      </c>
      <c r="J194" s="6">
        <v>537.41</v>
      </c>
      <c r="K194" s="6">
        <v>8598.56</v>
      </c>
      <c r="L194" t="s">
        <v>22</v>
      </c>
      <c r="M194" t="s">
        <v>22</v>
      </c>
      <c r="N194" s="3">
        <v>46203</v>
      </c>
      <c r="O194" s="6">
        <v>8598.56</v>
      </c>
    </row>
    <row r="195" spans="1:15" x14ac:dyDescent="0.3">
      <c r="A195" t="s">
        <v>237</v>
      </c>
      <c r="B195" s="3">
        <v>45722</v>
      </c>
      <c r="C195" t="s">
        <v>220</v>
      </c>
      <c r="D195" t="s">
        <v>49</v>
      </c>
      <c r="E195" t="s">
        <v>28</v>
      </c>
      <c r="F195" t="s">
        <v>51</v>
      </c>
      <c r="G195" t="s">
        <v>39</v>
      </c>
      <c r="H195" t="s">
        <v>45</v>
      </c>
      <c r="I195">
        <v>16</v>
      </c>
      <c r="J195" s="6">
        <v>517.9</v>
      </c>
      <c r="K195" s="6">
        <v>8286.4</v>
      </c>
      <c r="L195" t="s">
        <v>22</v>
      </c>
      <c r="M195" t="s">
        <v>22</v>
      </c>
      <c r="N195" s="3">
        <v>46203</v>
      </c>
      <c r="O195" s="6">
        <v>8286.4</v>
      </c>
    </row>
    <row r="196" spans="1:15" x14ac:dyDescent="0.3">
      <c r="A196" t="s">
        <v>238</v>
      </c>
      <c r="B196" s="3">
        <v>45723</v>
      </c>
      <c r="C196" t="s">
        <v>220</v>
      </c>
      <c r="D196" t="s">
        <v>17</v>
      </c>
      <c r="E196" t="s">
        <v>18</v>
      </c>
      <c r="F196" t="s">
        <v>51</v>
      </c>
      <c r="G196" t="s">
        <v>20</v>
      </c>
      <c r="H196" t="s">
        <v>21</v>
      </c>
      <c r="I196">
        <v>16</v>
      </c>
      <c r="J196" s="6">
        <v>1525.54</v>
      </c>
      <c r="K196" s="6">
        <v>24408.639999999999</v>
      </c>
      <c r="L196" t="s">
        <v>22</v>
      </c>
      <c r="M196" t="s">
        <v>22</v>
      </c>
      <c r="N196" s="3">
        <v>46203</v>
      </c>
      <c r="O196" s="6">
        <v>24408.639999999999</v>
      </c>
    </row>
    <row r="197" spans="1:15" x14ac:dyDescent="0.3">
      <c r="A197" t="s">
        <v>239</v>
      </c>
      <c r="B197" s="3">
        <v>45723</v>
      </c>
      <c r="C197" t="s">
        <v>220</v>
      </c>
      <c r="D197" t="s">
        <v>49</v>
      </c>
      <c r="E197" t="s">
        <v>28</v>
      </c>
      <c r="F197" t="s">
        <v>38</v>
      </c>
      <c r="G197" t="s">
        <v>39</v>
      </c>
      <c r="H197" t="s">
        <v>21</v>
      </c>
      <c r="I197">
        <v>15</v>
      </c>
      <c r="J197" s="6">
        <v>459.09</v>
      </c>
      <c r="K197" s="6">
        <v>6886.35</v>
      </c>
      <c r="L197" t="s">
        <v>30</v>
      </c>
      <c r="M197" t="s">
        <v>31</v>
      </c>
      <c r="N197" s="3">
        <v>46180</v>
      </c>
      <c r="O197" s="6">
        <v>6886.35</v>
      </c>
    </row>
    <row r="198" spans="1:15" x14ac:dyDescent="0.3">
      <c r="A198" t="s">
        <v>240</v>
      </c>
      <c r="B198" s="3">
        <v>45723</v>
      </c>
      <c r="C198" t="s">
        <v>220</v>
      </c>
      <c r="D198" t="s">
        <v>49</v>
      </c>
      <c r="E198" t="s">
        <v>28</v>
      </c>
      <c r="F198" t="s">
        <v>29</v>
      </c>
      <c r="G198" t="s">
        <v>39</v>
      </c>
      <c r="H198" t="s">
        <v>21</v>
      </c>
      <c r="I198">
        <v>7</v>
      </c>
      <c r="J198" s="6">
        <v>452.77</v>
      </c>
      <c r="K198" s="6">
        <v>3169.39</v>
      </c>
      <c r="L198" t="s">
        <v>30</v>
      </c>
      <c r="M198" t="s">
        <v>41</v>
      </c>
      <c r="N198" s="3">
        <v>45935</v>
      </c>
      <c r="O198" s="6">
        <v>3169.39</v>
      </c>
    </row>
    <row r="199" spans="1:15" x14ac:dyDescent="0.3">
      <c r="A199" t="s">
        <v>241</v>
      </c>
      <c r="B199" s="3">
        <v>45724</v>
      </c>
      <c r="C199" t="s">
        <v>220</v>
      </c>
      <c r="D199" t="s">
        <v>49</v>
      </c>
      <c r="E199" t="s">
        <v>50</v>
      </c>
      <c r="F199" t="s">
        <v>29</v>
      </c>
      <c r="G199" t="s">
        <v>39</v>
      </c>
      <c r="H199" t="s">
        <v>34</v>
      </c>
      <c r="I199">
        <v>1</v>
      </c>
      <c r="J199" s="6">
        <v>491.96</v>
      </c>
      <c r="K199" s="6">
        <v>491.96</v>
      </c>
      <c r="L199" t="s">
        <v>30</v>
      </c>
      <c r="M199" t="s">
        <v>80</v>
      </c>
      <c r="N199" s="3">
        <v>45768</v>
      </c>
      <c r="O199" s="6">
        <v>491.96</v>
      </c>
    </row>
    <row r="200" spans="1:15" x14ac:dyDescent="0.3">
      <c r="A200" t="s">
        <v>242</v>
      </c>
      <c r="B200" s="3">
        <v>45724</v>
      </c>
      <c r="C200" t="s">
        <v>220</v>
      </c>
      <c r="D200" t="s">
        <v>24</v>
      </c>
      <c r="E200" t="s">
        <v>28</v>
      </c>
      <c r="F200" t="s">
        <v>19</v>
      </c>
      <c r="G200" t="s">
        <v>39</v>
      </c>
      <c r="H200" t="s">
        <v>21</v>
      </c>
      <c r="I200">
        <v>16</v>
      </c>
      <c r="J200" s="6">
        <v>920.73</v>
      </c>
      <c r="K200" s="6">
        <v>14731.68</v>
      </c>
      <c r="L200" t="s">
        <v>22</v>
      </c>
      <c r="M200" t="s">
        <v>22</v>
      </c>
      <c r="N200" s="3">
        <v>46203</v>
      </c>
      <c r="O200" s="6">
        <v>14731.68</v>
      </c>
    </row>
    <row r="201" spans="1:15" x14ac:dyDescent="0.3">
      <c r="A201" t="s">
        <v>243</v>
      </c>
      <c r="B201" s="3">
        <v>45724</v>
      </c>
      <c r="C201" t="s">
        <v>220</v>
      </c>
      <c r="D201" t="s">
        <v>17</v>
      </c>
      <c r="E201" t="s">
        <v>28</v>
      </c>
      <c r="F201" t="s">
        <v>38</v>
      </c>
      <c r="G201" t="s">
        <v>39</v>
      </c>
      <c r="H201" t="s">
        <v>45</v>
      </c>
      <c r="I201">
        <v>16</v>
      </c>
      <c r="J201" s="6">
        <v>1447.79</v>
      </c>
      <c r="K201" s="6">
        <v>23164.639999999999</v>
      </c>
      <c r="L201" t="s">
        <v>22</v>
      </c>
      <c r="M201" t="s">
        <v>22</v>
      </c>
      <c r="N201" s="3">
        <v>46203</v>
      </c>
      <c r="O201" s="6">
        <v>23164.639999999999</v>
      </c>
    </row>
    <row r="202" spans="1:15" x14ac:dyDescent="0.3">
      <c r="A202" t="s">
        <v>244</v>
      </c>
      <c r="B202" s="3">
        <v>45724</v>
      </c>
      <c r="C202" t="s">
        <v>220</v>
      </c>
      <c r="D202" t="s">
        <v>24</v>
      </c>
      <c r="E202" t="s">
        <v>25</v>
      </c>
      <c r="F202" t="s">
        <v>38</v>
      </c>
      <c r="G202" t="s">
        <v>39</v>
      </c>
      <c r="H202" t="s">
        <v>21</v>
      </c>
      <c r="I202">
        <v>2</v>
      </c>
      <c r="J202" s="6">
        <v>881.28</v>
      </c>
      <c r="K202" s="6">
        <v>1762.56</v>
      </c>
      <c r="L202" t="s">
        <v>30</v>
      </c>
      <c r="M202" t="s">
        <v>80</v>
      </c>
      <c r="N202" s="3">
        <v>45774</v>
      </c>
      <c r="O202" s="6">
        <v>1762.56</v>
      </c>
    </row>
    <row r="203" spans="1:15" x14ac:dyDescent="0.3">
      <c r="A203" t="s">
        <v>245</v>
      </c>
      <c r="B203" s="3">
        <v>45724</v>
      </c>
      <c r="C203" t="s">
        <v>220</v>
      </c>
      <c r="D203" t="s">
        <v>17</v>
      </c>
      <c r="E203" t="s">
        <v>50</v>
      </c>
      <c r="F203" t="s">
        <v>33</v>
      </c>
      <c r="G203" t="s">
        <v>39</v>
      </c>
      <c r="H203" t="s">
        <v>34</v>
      </c>
      <c r="I203">
        <v>16</v>
      </c>
      <c r="J203" s="6">
        <v>1576.51</v>
      </c>
      <c r="K203" s="6">
        <v>25224.16</v>
      </c>
      <c r="L203" t="s">
        <v>22</v>
      </c>
      <c r="M203" t="s">
        <v>22</v>
      </c>
      <c r="N203" s="3">
        <v>46203</v>
      </c>
      <c r="O203" s="6">
        <v>25224.16</v>
      </c>
    </row>
    <row r="204" spans="1:15" x14ac:dyDescent="0.3">
      <c r="A204" t="s">
        <v>246</v>
      </c>
      <c r="B204" s="3">
        <v>45726</v>
      </c>
      <c r="C204" t="s">
        <v>220</v>
      </c>
      <c r="D204" t="s">
        <v>49</v>
      </c>
      <c r="E204" t="s">
        <v>50</v>
      </c>
      <c r="F204" t="s">
        <v>38</v>
      </c>
      <c r="G204" t="s">
        <v>39</v>
      </c>
      <c r="H204" t="s">
        <v>21</v>
      </c>
      <c r="I204">
        <v>16</v>
      </c>
      <c r="J204" s="6">
        <v>524.91999999999996</v>
      </c>
      <c r="K204" s="6">
        <v>8398.7199999999993</v>
      </c>
      <c r="L204" t="s">
        <v>22</v>
      </c>
      <c r="M204" t="s">
        <v>22</v>
      </c>
      <c r="N204" s="3">
        <v>46203</v>
      </c>
      <c r="O204" s="6">
        <v>8398.7199999999993</v>
      </c>
    </row>
    <row r="205" spans="1:15" x14ac:dyDescent="0.3">
      <c r="A205" t="s">
        <v>247</v>
      </c>
      <c r="B205" s="3">
        <v>45727</v>
      </c>
      <c r="C205" t="s">
        <v>220</v>
      </c>
      <c r="D205" t="s">
        <v>17</v>
      </c>
      <c r="E205" t="s">
        <v>28</v>
      </c>
      <c r="F205" t="s">
        <v>19</v>
      </c>
      <c r="G205" t="s">
        <v>39</v>
      </c>
      <c r="H205" t="s">
        <v>45</v>
      </c>
      <c r="I205">
        <v>16</v>
      </c>
      <c r="J205" s="6">
        <v>1354.72</v>
      </c>
      <c r="K205" s="6">
        <v>21675.52</v>
      </c>
      <c r="L205" t="s">
        <v>22</v>
      </c>
      <c r="M205" t="s">
        <v>22</v>
      </c>
      <c r="N205" s="3">
        <v>46203</v>
      </c>
      <c r="O205" s="6">
        <v>21675.52</v>
      </c>
    </row>
    <row r="206" spans="1:15" x14ac:dyDescent="0.3">
      <c r="A206" t="s">
        <v>248</v>
      </c>
      <c r="B206" s="3">
        <v>45728</v>
      </c>
      <c r="C206" t="s">
        <v>220</v>
      </c>
      <c r="D206" t="s">
        <v>49</v>
      </c>
      <c r="E206" t="s">
        <v>25</v>
      </c>
      <c r="F206" t="s">
        <v>51</v>
      </c>
      <c r="G206" t="s">
        <v>39</v>
      </c>
      <c r="H206" t="s">
        <v>21</v>
      </c>
      <c r="I206">
        <v>9</v>
      </c>
      <c r="J206" s="6">
        <v>461.91</v>
      </c>
      <c r="K206" s="6">
        <v>4157.1899999999996</v>
      </c>
      <c r="L206" t="s">
        <v>30</v>
      </c>
      <c r="M206" t="s">
        <v>36</v>
      </c>
      <c r="N206" s="3">
        <v>45990</v>
      </c>
      <c r="O206" s="6">
        <v>4157.1899999999996</v>
      </c>
    </row>
    <row r="207" spans="1:15" x14ac:dyDescent="0.3">
      <c r="A207" t="s">
        <v>249</v>
      </c>
      <c r="B207" s="3">
        <v>45728</v>
      </c>
      <c r="C207" t="s">
        <v>220</v>
      </c>
      <c r="D207" t="s">
        <v>17</v>
      </c>
      <c r="E207" t="s">
        <v>25</v>
      </c>
      <c r="F207" t="s">
        <v>19</v>
      </c>
      <c r="G207" t="s">
        <v>39</v>
      </c>
      <c r="H207" t="s">
        <v>45</v>
      </c>
      <c r="I207">
        <v>16</v>
      </c>
      <c r="J207" s="6">
        <v>1388.95</v>
      </c>
      <c r="K207" s="6">
        <v>22223.200000000001</v>
      </c>
      <c r="L207" t="s">
        <v>22</v>
      </c>
      <c r="M207" t="s">
        <v>22</v>
      </c>
      <c r="N207" s="3">
        <v>46203</v>
      </c>
      <c r="O207" s="6">
        <v>22223.200000000001</v>
      </c>
    </row>
    <row r="208" spans="1:15" x14ac:dyDescent="0.3">
      <c r="A208" t="s">
        <v>250</v>
      </c>
      <c r="B208" s="3">
        <v>45729</v>
      </c>
      <c r="C208" t="s">
        <v>220</v>
      </c>
      <c r="D208" t="s">
        <v>49</v>
      </c>
      <c r="E208" t="s">
        <v>25</v>
      </c>
      <c r="F208" t="s">
        <v>29</v>
      </c>
      <c r="G208" t="s">
        <v>39</v>
      </c>
      <c r="H208" t="s">
        <v>40</v>
      </c>
      <c r="I208">
        <v>11</v>
      </c>
      <c r="J208" s="6">
        <v>533.01</v>
      </c>
      <c r="K208" s="6">
        <v>5863.11</v>
      </c>
      <c r="L208" t="s">
        <v>30</v>
      </c>
      <c r="M208" t="s">
        <v>31</v>
      </c>
      <c r="N208" s="3">
        <v>46068</v>
      </c>
      <c r="O208" s="6">
        <v>5863.11</v>
      </c>
    </row>
    <row r="209" spans="1:15" x14ac:dyDescent="0.3">
      <c r="A209" t="s">
        <v>251</v>
      </c>
      <c r="B209" s="3">
        <v>45729</v>
      </c>
      <c r="C209" t="s">
        <v>220</v>
      </c>
      <c r="D209" t="s">
        <v>24</v>
      </c>
      <c r="E209" t="s">
        <v>25</v>
      </c>
      <c r="F209" t="s">
        <v>38</v>
      </c>
      <c r="G209" t="s">
        <v>26</v>
      </c>
      <c r="H209" t="s">
        <v>21</v>
      </c>
      <c r="I209">
        <v>16</v>
      </c>
      <c r="J209" s="6">
        <v>961.78</v>
      </c>
      <c r="K209" s="6">
        <v>15388.48</v>
      </c>
      <c r="L209" t="s">
        <v>22</v>
      </c>
      <c r="M209" t="s">
        <v>22</v>
      </c>
      <c r="N209" s="3">
        <v>46203</v>
      </c>
      <c r="O209" s="6">
        <v>15388.48</v>
      </c>
    </row>
    <row r="210" spans="1:15" x14ac:dyDescent="0.3">
      <c r="A210" t="s">
        <v>252</v>
      </c>
      <c r="B210" s="3">
        <v>45729</v>
      </c>
      <c r="C210" t="s">
        <v>220</v>
      </c>
      <c r="D210" t="s">
        <v>49</v>
      </c>
      <c r="E210" t="s">
        <v>28</v>
      </c>
      <c r="F210" t="s">
        <v>19</v>
      </c>
      <c r="G210" t="s">
        <v>39</v>
      </c>
      <c r="H210" t="s">
        <v>34</v>
      </c>
      <c r="I210">
        <v>6</v>
      </c>
      <c r="J210" s="6">
        <v>455.52</v>
      </c>
      <c r="K210" s="6">
        <v>2733.12</v>
      </c>
      <c r="L210" t="s">
        <v>30</v>
      </c>
      <c r="M210" t="s">
        <v>31</v>
      </c>
      <c r="N210" s="3">
        <v>45916</v>
      </c>
      <c r="O210" s="6">
        <v>2733.12</v>
      </c>
    </row>
    <row r="211" spans="1:15" x14ac:dyDescent="0.3">
      <c r="A211" t="s">
        <v>253</v>
      </c>
      <c r="B211" s="3">
        <v>45729</v>
      </c>
      <c r="C211" t="s">
        <v>220</v>
      </c>
      <c r="D211" t="s">
        <v>24</v>
      </c>
      <c r="E211" t="s">
        <v>28</v>
      </c>
      <c r="F211" t="s">
        <v>38</v>
      </c>
      <c r="G211" t="s">
        <v>39</v>
      </c>
      <c r="H211" t="s">
        <v>21</v>
      </c>
      <c r="I211">
        <v>8</v>
      </c>
      <c r="J211" s="6">
        <v>949.21</v>
      </c>
      <c r="K211" s="6">
        <v>7593.68</v>
      </c>
      <c r="L211" t="s">
        <v>30</v>
      </c>
      <c r="M211" t="s">
        <v>31</v>
      </c>
      <c r="N211" s="3">
        <v>45986</v>
      </c>
      <c r="O211" s="6">
        <v>7593.68</v>
      </c>
    </row>
    <row r="212" spans="1:15" x14ac:dyDescent="0.3">
      <c r="A212" t="s">
        <v>254</v>
      </c>
      <c r="B212" s="3">
        <v>45730</v>
      </c>
      <c r="C212" t="s">
        <v>220</v>
      </c>
      <c r="D212" t="s">
        <v>49</v>
      </c>
      <c r="E212" t="s">
        <v>25</v>
      </c>
      <c r="F212" t="s">
        <v>19</v>
      </c>
      <c r="G212" t="s">
        <v>39</v>
      </c>
      <c r="H212" t="s">
        <v>21</v>
      </c>
      <c r="I212">
        <v>6</v>
      </c>
      <c r="J212" s="6">
        <v>466</v>
      </c>
      <c r="K212" s="6">
        <v>2796</v>
      </c>
      <c r="L212" t="s">
        <v>30</v>
      </c>
      <c r="M212" t="s">
        <v>36</v>
      </c>
      <c r="N212" s="3">
        <v>45913</v>
      </c>
      <c r="O212" s="6">
        <v>2796</v>
      </c>
    </row>
    <row r="213" spans="1:15" x14ac:dyDescent="0.3">
      <c r="A213" t="s">
        <v>255</v>
      </c>
      <c r="B213" s="3">
        <v>45730</v>
      </c>
      <c r="C213" t="s">
        <v>220</v>
      </c>
      <c r="D213" t="s">
        <v>24</v>
      </c>
      <c r="E213" t="s">
        <v>25</v>
      </c>
      <c r="F213" t="s">
        <v>38</v>
      </c>
      <c r="G213" t="s">
        <v>39</v>
      </c>
      <c r="H213" t="s">
        <v>34</v>
      </c>
      <c r="I213">
        <v>16</v>
      </c>
      <c r="J213" s="6">
        <v>869.68</v>
      </c>
      <c r="K213" s="6">
        <v>13914.88</v>
      </c>
      <c r="L213" t="s">
        <v>22</v>
      </c>
      <c r="M213" t="s">
        <v>22</v>
      </c>
      <c r="N213" s="3">
        <v>46203</v>
      </c>
      <c r="O213" s="6">
        <v>13914.88</v>
      </c>
    </row>
    <row r="214" spans="1:15" x14ac:dyDescent="0.3">
      <c r="A214" t="s">
        <v>256</v>
      </c>
      <c r="B214" s="3">
        <v>45730</v>
      </c>
      <c r="C214" t="s">
        <v>220</v>
      </c>
      <c r="D214" t="s">
        <v>24</v>
      </c>
      <c r="E214" t="s">
        <v>25</v>
      </c>
      <c r="F214" t="s">
        <v>19</v>
      </c>
      <c r="G214" t="s">
        <v>39</v>
      </c>
      <c r="H214" t="s">
        <v>45</v>
      </c>
      <c r="I214">
        <v>8</v>
      </c>
      <c r="J214" s="6">
        <v>821.2</v>
      </c>
      <c r="K214" s="6">
        <v>6569.6</v>
      </c>
      <c r="L214" t="s">
        <v>30</v>
      </c>
      <c r="M214" t="s">
        <v>31</v>
      </c>
      <c r="N214" s="3">
        <v>45985</v>
      </c>
      <c r="O214" s="6">
        <v>6569.6</v>
      </c>
    </row>
    <row r="215" spans="1:15" x14ac:dyDescent="0.3">
      <c r="A215" t="s">
        <v>257</v>
      </c>
      <c r="B215" s="3">
        <v>45731</v>
      </c>
      <c r="C215" t="s">
        <v>220</v>
      </c>
      <c r="D215" t="s">
        <v>49</v>
      </c>
      <c r="E215" t="s">
        <v>18</v>
      </c>
      <c r="F215" t="s">
        <v>29</v>
      </c>
      <c r="G215" t="s">
        <v>39</v>
      </c>
      <c r="H215" t="s">
        <v>40</v>
      </c>
      <c r="I215">
        <v>16</v>
      </c>
      <c r="J215" s="6">
        <v>484.87</v>
      </c>
      <c r="K215" s="6">
        <v>7757.92</v>
      </c>
      <c r="L215" t="s">
        <v>22</v>
      </c>
      <c r="M215" t="s">
        <v>22</v>
      </c>
      <c r="N215" s="3">
        <v>46203</v>
      </c>
      <c r="O215" s="6">
        <v>7757.92</v>
      </c>
    </row>
    <row r="216" spans="1:15" x14ac:dyDescent="0.3">
      <c r="A216" t="s">
        <v>258</v>
      </c>
      <c r="B216" s="3">
        <v>45731</v>
      </c>
      <c r="C216" t="s">
        <v>220</v>
      </c>
      <c r="D216" t="s">
        <v>17</v>
      </c>
      <c r="E216" t="s">
        <v>28</v>
      </c>
      <c r="F216" t="s">
        <v>29</v>
      </c>
      <c r="G216" t="s">
        <v>39</v>
      </c>
      <c r="H216" t="s">
        <v>40</v>
      </c>
      <c r="I216">
        <v>9</v>
      </c>
      <c r="J216" s="6">
        <v>1615.57</v>
      </c>
      <c r="K216" s="6">
        <v>14540.13</v>
      </c>
      <c r="L216" t="s">
        <v>30</v>
      </c>
      <c r="M216" t="s">
        <v>31</v>
      </c>
      <c r="N216" s="3">
        <v>46007</v>
      </c>
      <c r="O216" s="6">
        <v>14540.13</v>
      </c>
    </row>
    <row r="217" spans="1:15" x14ac:dyDescent="0.3">
      <c r="A217" t="s">
        <v>259</v>
      </c>
      <c r="B217" s="3">
        <v>45731</v>
      </c>
      <c r="C217" t="s">
        <v>220</v>
      </c>
      <c r="D217" t="s">
        <v>24</v>
      </c>
      <c r="E217" t="s">
        <v>18</v>
      </c>
      <c r="F217" t="s">
        <v>29</v>
      </c>
      <c r="G217" t="s">
        <v>20</v>
      </c>
      <c r="H217" t="s">
        <v>21</v>
      </c>
      <c r="I217">
        <v>16</v>
      </c>
      <c r="J217" s="6">
        <v>894.21</v>
      </c>
      <c r="K217" s="6">
        <v>14307.36</v>
      </c>
      <c r="L217" t="s">
        <v>22</v>
      </c>
      <c r="M217" t="s">
        <v>22</v>
      </c>
      <c r="N217" s="3">
        <v>46203</v>
      </c>
      <c r="O217" s="6">
        <v>14307.36</v>
      </c>
    </row>
    <row r="218" spans="1:15" x14ac:dyDescent="0.3">
      <c r="A218" t="s">
        <v>260</v>
      </c>
      <c r="B218" s="3">
        <v>45731</v>
      </c>
      <c r="C218" t="s">
        <v>220</v>
      </c>
      <c r="D218" t="s">
        <v>17</v>
      </c>
      <c r="E218" t="s">
        <v>25</v>
      </c>
      <c r="F218" t="s">
        <v>33</v>
      </c>
      <c r="G218" t="s">
        <v>39</v>
      </c>
      <c r="H218" t="s">
        <v>45</v>
      </c>
      <c r="I218">
        <v>16</v>
      </c>
      <c r="J218" s="6">
        <v>1364.57</v>
      </c>
      <c r="K218" s="6">
        <v>21833.119999999999</v>
      </c>
      <c r="L218" t="s">
        <v>22</v>
      </c>
      <c r="M218" t="s">
        <v>22</v>
      </c>
      <c r="N218" s="3">
        <v>46203</v>
      </c>
      <c r="O218" s="6">
        <v>21833.119999999999</v>
      </c>
    </row>
    <row r="219" spans="1:15" x14ac:dyDescent="0.3">
      <c r="A219" t="s">
        <v>261</v>
      </c>
      <c r="B219" s="3">
        <v>45731</v>
      </c>
      <c r="C219" t="s">
        <v>220</v>
      </c>
      <c r="D219" t="s">
        <v>49</v>
      </c>
      <c r="E219" t="s">
        <v>28</v>
      </c>
      <c r="F219" t="s">
        <v>19</v>
      </c>
      <c r="G219" t="s">
        <v>39</v>
      </c>
      <c r="H219" t="s">
        <v>21</v>
      </c>
      <c r="I219">
        <v>16</v>
      </c>
      <c r="J219" s="6">
        <v>506.04</v>
      </c>
      <c r="K219" s="6">
        <v>8096.64</v>
      </c>
      <c r="L219" t="s">
        <v>22</v>
      </c>
      <c r="M219" t="s">
        <v>22</v>
      </c>
      <c r="N219" s="3">
        <v>46203</v>
      </c>
      <c r="O219" s="6">
        <v>8096.64</v>
      </c>
    </row>
    <row r="220" spans="1:15" x14ac:dyDescent="0.3">
      <c r="A220" t="s">
        <v>262</v>
      </c>
      <c r="B220" s="3">
        <v>45731</v>
      </c>
      <c r="C220" t="s">
        <v>220</v>
      </c>
      <c r="D220" t="s">
        <v>24</v>
      </c>
      <c r="E220" t="s">
        <v>25</v>
      </c>
      <c r="F220" t="s">
        <v>19</v>
      </c>
      <c r="G220" t="s">
        <v>20</v>
      </c>
      <c r="H220" t="s">
        <v>34</v>
      </c>
      <c r="I220">
        <v>16</v>
      </c>
      <c r="J220" s="6">
        <v>950.42</v>
      </c>
      <c r="K220" s="6">
        <v>15206.72</v>
      </c>
      <c r="L220" t="s">
        <v>22</v>
      </c>
      <c r="M220" t="s">
        <v>22</v>
      </c>
      <c r="N220" s="3">
        <v>46203</v>
      </c>
      <c r="O220" s="6">
        <v>15206.72</v>
      </c>
    </row>
    <row r="221" spans="1:15" x14ac:dyDescent="0.3">
      <c r="A221" t="s">
        <v>263</v>
      </c>
      <c r="B221" s="3">
        <v>45734</v>
      </c>
      <c r="C221" t="s">
        <v>220</v>
      </c>
      <c r="D221" t="s">
        <v>49</v>
      </c>
      <c r="E221" t="s">
        <v>18</v>
      </c>
      <c r="F221" t="s">
        <v>29</v>
      </c>
      <c r="G221" t="s">
        <v>39</v>
      </c>
      <c r="H221" t="s">
        <v>34</v>
      </c>
      <c r="I221">
        <v>15</v>
      </c>
      <c r="J221" s="6">
        <v>484.24</v>
      </c>
      <c r="K221" s="6">
        <v>7263.6</v>
      </c>
      <c r="L221" t="s">
        <v>22</v>
      </c>
      <c r="M221" t="s">
        <v>22</v>
      </c>
      <c r="N221" s="3">
        <v>46203</v>
      </c>
      <c r="O221" s="6">
        <v>7263.6</v>
      </c>
    </row>
    <row r="222" spans="1:15" x14ac:dyDescent="0.3">
      <c r="A222" t="s">
        <v>264</v>
      </c>
      <c r="B222" s="3">
        <v>45736</v>
      </c>
      <c r="C222" t="s">
        <v>220</v>
      </c>
      <c r="D222" t="s">
        <v>17</v>
      </c>
      <c r="E222" t="s">
        <v>25</v>
      </c>
      <c r="F222" t="s">
        <v>38</v>
      </c>
      <c r="G222" t="s">
        <v>39</v>
      </c>
      <c r="H222" t="s">
        <v>21</v>
      </c>
      <c r="I222">
        <v>15</v>
      </c>
      <c r="J222" s="6">
        <v>1588.03</v>
      </c>
      <c r="K222" s="6">
        <v>23820.45</v>
      </c>
      <c r="L222" t="s">
        <v>22</v>
      </c>
      <c r="M222" t="s">
        <v>22</v>
      </c>
      <c r="N222" s="3">
        <v>46203</v>
      </c>
      <c r="O222" s="6">
        <v>23820.45</v>
      </c>
    </row>
    <row r="223" spans="1:15" x14ac:dyDescent="0.3">
      <c r="A223" t="s">
        <v>265</v>
      </c>
      <c r="B223" s="3">
        <v>45737</v>
      </c>
      <c r="C223" t="s">
        <v>220</v>
      </c>
      <c r="D223" t="s">
        <v>17</v>
      </c>
      <c r="E223" t="s">
        <v>18</v>
      </c>
      <c r="F223" t="s">
        <v>19</v>
      </c>
      <c r="G223" t="s">
        <v>39</v>
      </c>
      <c r="H223" t="s">
        <v>21</v>
      </c>
      <c r="I223">
        <v>15</v>
      </c>
      <c r="J223" s="6">
        <v>1349.82</v>
      </c>
      <c r="K223" s="6">
        <v>20247.3</v>
      </c>
      <c r="L223" t="s">
        <v>22</v>
      </c>
      <c r="M223" t="s">
        <v>22</v>
      </c>
      <c r="N223" s="3">
        <v>46203</v>
      </c>
      <c r="O223" s="6">
        <v>20247.3</v>
      </c>
    </row>
    <row r="224" spans="1:15" x14ac:dyDescent="0.3">
      <c r="A224" t="s">
        <v>266</v>
      </c>
      <c r="B224" s="3">
        <v>45737</v>
      </c>
      <c r="C224" t="s">
        <v>220</v>
      </c>
      <c r="D224" t="s">
        <v>49</v>
      </c>
      <c r="E224" t="s">
        <v>28</v>
      </c>
      <c r="F224" t="s">
        <v>29</v>
      </c>
      <c r="G224" t="s">
        <v>26</v>
      </c>
      <c r="H224" t="s">
        <v>34</v>
      </c>
      <c r="I224">
        <v>15</v>
      </c>
      <c r="J224" s="6">
        <v>475.71</v>
      </c>
      <c r="K224" s="6">
        <v>7135.65</v>
      </c>
      <c r="L224" t="s">
        <v>22</v>
      </c>
      <c r="M224" t="s">
        <v>22</v>
      </c>
      <c r="N224" s="3">
        <v>46203</v>
      </c>
      <c r="O224" s="6">
        <v>7135.65</v>
      </c>
    </row>
    <row r="225" spans="1:15" x14ac:dyDescent="0.3">
      <c r="A225" t="s">
        <v>267</v>
      </c>
      <c r="B225" s="3">
        <v>45739</v>
      </c>
      <c r="C225" t="s">
        <v>220</v>
      </c>
      <c r="D225" t="s">
        <v>24</v>
      </c>
      <c r="E225" t="s">
        <v>50</v>
      </c>
      <c r="F225" t="s">
        <v>29</v>
      </c>
      <c r="G225" t="s">
        <v>20</v>
      </c>
      <c r="H225" t="s">
        <v>21</v>
      </c>
      <c r="I225">
        <v>14</v>
      </c>
      <c r="J225" s="6">
        <v>925.25</v>
      </c>
      <c r="K225" s="6">
        <v>12953.5</v>
      </c>
      <c r="L225" t="s">
        <v>30</v>
      </c>
      <c r="M225" t="s">
        <v>31</v>
      </c>
      <c r="N225" s="3">
        <v>46154</v>
      </c>
      <c r="O225" s="6">
        <v>12953.5</v>
      </c>
    </row>
    <row r="226" spans="1:15" x14ac:dyDescent="0.3">
      <c r="A226" t="s">
        <v>268</v>
      </c>
      <c r="B226" s="3">
        <v>45740</v>
      </c>
      <c r="C226" t="s">
        <v>220</v>
      </c>
      <c r="D226" t="s">
        <v>24</v>
      </c>
      <c r="E226" t="s">
        <v>25</v>
      </c>
      <c r="F226" t="s">
        <v>29</v>
      </c>
      <c r="G226" t="s">
        <v>20</v>
      </c>
      <c r="H226" t="s">
        <v>21</v>
      </c>
      <c r="I226">
        <v>15</v>
      </c>
      <c r="J226" s="6">
        <v>817.27</v>
      </c>
      <c r="K226" s="6">
        <v>12259.05</v>
      </c>
      <c r="L226" t="s">
        <v>22</v>
      </c>
      <c r="M226" t="s">
        <v>22</v>
      </c>
      <c r="N226" s="3">
        <v>46203</v>
      </c>
      <c r="O226" s="6">
        <v>12259.05</v>
      </c>
    </row>
    <row r="227" spans="1:15" x14ac:dyDescent="0.3">
      <c r="A227" t="s">
        <v>269</v>
      </c>
      <c r="B227" s="3">
        <v>45740</v>
      </c>
      <c r="C227" t="s">
        <v>220</v>
      </c>
      <c r="D227" t="s">
        <v>24</v>
      </c>
      <c r="E227" t="s">
        <v>18</v>
      </c>
      <c r="F227" t="s">
        <v>38</v>
      </c>
      <c r="G227" t="s">
        <v>39</v>
      </c>
      <c r="H227" t="s">
        <v>21</v>
      </c>
      <c r="I227">
        <v>15</v>
      </c>
      <c r="J227" s="6">
        <v>930.78</v>
      </c>
      <c r="K227" s="6">
        <v>13961.7</v>
      </c>
      <c r="L227" t="s">
        <v>22</v>
      </c>
      <c r="M227" t="s">
        <v>22</v>
      </c>
      <c r="N227" s="3">
        <v>46203</v>
      </c>
      <c r="O227" s="6">
        <v>13961.7</v>
      </c>
    </row>
    <row r="228" spans="1:15" x14ac:dyDescent="0.3">
      <c r="A228" t="s">
        <v>270</v>
      </c>
      <c r="B228" s="3">
        <v>45740</v>
      </c>
      <c r="C228" t="s">
        <v>220</v>
      </c>
      <c r="D228" t="s">
        <v>24</v>
      </c>
      <c r="E228" t="s">
        <v>25</v>
      </c>
      <c r="F228" t="s">
        <v>19</v>
      </c>
      <c r="G228" t="s">
        <v>39</v>
      </c>
      <c r="H228" t="s">
        <v>21</v>
      </c>
      <c r="I228">
        <v>15</v>
      </c>
      <c r="J228" s="6">
        <v>960.39</v>
      </c>
      <c r="K228" s="6">
        <v>14405.85</v>
      </c>
      <c r="L228" t="s">
        <v>22</v>
      </c>
      <c r="M228" t="s">
        <v>22</v>
      </c>
      <c r="N228" s="3">
        <v>46203</v>
      </c>
      <c r="O228" s="6">
        <v>14405.85</v>
      </c>
    </row>
    <row r="229" spans="1:15" x14ac:dyDescent="0.3">
      <c r="A229" t="s">
        <v>271</v>
      </c>
      <c r="B229" s="3">
        <v>45741</v>
      </c>
      <c r="C229" t="s">
        <v>220</v>
      </c>
      <c r="D229" t="s">
        <v>17</v>
      </c>
      <c r="E229" t="s">
        <v>25</v>
      </c>
      <c r="F229" t="s">
        <v>33</v>
      </c>
      <c r="G229" t="s">
        <v>39</v>
      </c>
      <c r="H229" t="s">
        <v>40</v>
      </c>
      <c r="I229">
        <v>15</v>
      </c>
      <c r="J229" s="6">
        <v>1380.52</v>
      </c>
      <c r="K229" s="6">
        <v>20707.8</v>
      </c>
      <c r="L229" t="s">
        <v>22</v>
      </c>
      <c r="M229" t="s">
        <v>22</v>
      </c>
      <c r="N229" s="3">
        <v>46203</v>
      </c>
      <c r="O229" s="6">
        <v>20707.8</v>
      </c>
    </row>
    <row r="230" spans="1:15" x14ac:dyDescent="0.3">
      <c r="A230" t="s">
        <v>272</v>
      </c>
      <c r="B230" s="3">
        <v>45741</v>
      </c>
      <c r="C230" t="s">
        <v>220</v>
      </c>
      <c r="D230" t="s">
        <v>24</v>
      </c>
      <c r="E230" t="s">
        <v>28</v>
      </c>
      <c r="F230" t="s">
        <v>29</v>
      </c>
      <c r="G230" t="s">
        <v>39</v>
      </c>
      <c r="H230" t="s">
        <v>40</v>
      </c>
      <c r="I230">
        <v>15</v>
      </c>
      <c r="J230" s="6">
        <v>896.61</v>
      </c>
      <c r="K230" s="6">
        <v>13449.15</v>
      </c>
      <c r="L230" t="s">
        <v>22</v>
      </c>
      <c r="M230" t="s">
        <v>22</v>
      </c>
      <c r="N230" s="3">
        <v>46203</v>
      </c>
      <c r="O230" s="6">
        <v>13449.15</v>
      </c>
    </row>
    <row r="231" spans="1:15" x14ac:dyDescent="0.3">
      <c r="A231" t="s">
        <v>273</v>
      </c>
      <c r="B231" s="3">
        <v>45742</v>
      </c>
      <c r="C231" t="s">
        <v>220</v>
      </c>
      <c r="D231" t="s">
        <v>17</v>
      </c>
      <c r="E231" t="s">
        <v>50</v>
      </c>
      <c r="F231" t="s">
        <v>29</v>
      </c>
      <c r="G231" t="s">
        <v>39</v>
      </c>
      <c r="H231" t="s">
        <v>21</v>
      </c>
      <c r="I231">
        <v>15</v>
      </c>
      <c r="J231" s="6">
        <v>1458.88</v>
      </c>
      <c r="K231" s="6">
        <v>21883.200000000001</v>
      </c>
      <c r="L231" t="s">
        <v>22</v>
      </c>
      <c r="M231" t="s">
        <v>22</v>
      </c>
      <c r="N231" s="3">
        <v>46203</v>
      </c>
      <c r="O231" s="6">
        <v>21883.200000000001</v>
      </c>
    </row>
    <row r="232" spans="1:15" x14ac:dyDescent="0.3">
      <c r="A232" t="s">
        <v>274</v>
      </c>
      <c r="B232" s="3">
        <v>45742</v>
      </c>
      <c r="C232" t="s">
        <v>220</v>
      </c>
      <c r="D232" t="s">
        <v>49</v>
      </c>
      <c r="E232" t="s">
        <v>25</v>
      </c>
      <c r="F232" t="s">
        <v>38</v>
      </c>
      <c r="G232" t="s">
        <v>39</v>
      </c>
      <c r="H232" t="s">
        <v>21</v>
      </c>
      <c r="I232">
        <v>15</v>
      </c>
      <c r="J232" s="6">
        <v>464.91</v>
      </c>
      <c r="K232" s="6">
        <v>6973.65</v>
      </c>
      <c r="L232" t="s">
        <v>22</v>
      </c>
      <c r="M232" t="s">
        <v>22</v>
      </c>
      <c r="N232" s="3">
        <v>46203</v>
      </c>
      <c r="O232" s="6">
        <v>6973.65</v>
      </c>
    </row>
    <row r="233" spans="1:15" x14ac:dyDescent="0.3">
      <c r="A233" t="s">
        <v>275</v>
      </c>
      <c r="B233" s="3">
        <v>45742</v>
      </c>
      <c r="C233" t="s">
        <v>220</v>
      </c>
      <c r="D233" t="s">
        <v>24</v>
      </c>
      <c r="E233" t="s">
        <v>28</v>
      </c>
      <c r="F233" t="s">
        <v>29</v>
      </c>
      <c r="G233" t="s">
        <v>39</v>
      </c>
      <c r="H233" t="s">
        <v>21</v>
      </c>
      <c r="I233">
        <v>15</v>
      </c>
      <c r="J233" s="6">
        <v>866.25</v>
      </c>
      <c r="K233" s="6">
        <v>12993.75</v>
      </c>
      <c r="L233" t="s">
        <v>22</v>
      </c>
      <c r="M233" t="s">
        <v>22</v>
      </c>
      <c r="N233" s="3">
        <v>46203</v>
      </c>
      <c r="O233" s="6">
        <v>12993.75</v>
      </c>
    </row>
    <row r="234" spans="1:15" x14ac:dyDescent="0.3">
      <c r="A234" t="s">
        <v>276</v>
      </c>
      <c r="B234" s="3">
        <v>45743</v>
      </c>
      <c r="C234" t="s">
        <v>220</v>
      </c>
      <c r="D234" t="s">
        <v>24</v>
      </c>
      <c r="E234" t="s">
        <v>25</v>
      </c>
      <c r="F234" t="s">
        <v>38</v>
      </c>
      <c r="G234" t="s">
        <v>39</v>
      </c>
      <c r="H234" t="s">
        <v>21</v>
      </c>
      <c r="I234">
        <v>7</v>
      </c>
      <c r="J234" s="6">
        <v>981.15</v>
      </c>
      <c r="K234" s="6">
        <v>6868.05</v>
      </c>
      <c r="L234" t="s">
        <v>30</v>
      </c>
      <c r="M234" t="s">
        <v>31</v>
      </c>
      <c r="N234" s="3">
        <v>45970</v>
      </c>
      <c r="O234" s="6">
        <v>6868.05</v>
      </c>
    </row>
    <row r="235" spans="1:15" x14ac:dyDescent="0.3">
      <c r="A235" t="s">
        <v>277</v>
      </c>
      <c r="B235" s="3">
        <v>45743</v>
      </c>
      <c r="C235" t="s">
        <v>220</v>
      </c>
      <c r="D235" t="s">
        <v>24</v>
      </c>
      <c r="E235" t="s">
        <v>18</v>
      </c>
      <c r="F235" t="s">
        <v>38</v>
      </c>
      <c r="G235" t="s">
        <v>39</v>
      </c>
      <c r="H235" t="s">
        <v>21</v>
      </c>
      <c r="I235">
        <v>7</v>
      </c>
      <c r="J235" s="6">
        <v>823.71</v>
      </c>
      <c r="K235" s="6">
        <v>5765.97</v>
      </c>
      <c r="L235" t="s">
        <v>30</v>
      </c>
      <c r="M235" t="s">
        <v>41</v>
      </c>
      <c r="N235" s="3">
        <v>45963</v>
      </c>
      <c r="O235" s="6">
        <v>5765.97</v>
      </c>
    </row>
    <row r="236" spans="1:15" x14ac:dyDescent="0.3">
      <c r="A236" t="s">
        <v>278</v>
      </c>
      <c r="B236" s="3">
        <v>45744</v>
      </c>
      <c r="C236" t="s">
        <v>220</v>
      </c>
      <c r="D236" t="s">
        <v>24</v>
      </c>
      <c r="E236" t="s">
        <v>28</v>
      </c>
      <c r="F236" t="s">
        <v>29</v>
      </c>
      <c r="G236" t="s">
        <v>39</v>
      </c>
      <c r="H236" t="s">
        <v>21</v>
      </c>
      <c r="I236">
        <v>9</v>
      </c>
      <c r="J236" s="6">
        <v>932.57</v>
      </c>
      <c r="K236" s="6">
        <v>8393.1299999999992</v>
      </c>
      <c r="L236" t="s">
        <v>30</v>
      </c>
      <c r="M236" t="s">
        <v>43</v>
      </c>
      <c r="N236" s="3">
        <v>46010</v>
      </c>
      <c r="O236" s="6">
        <v>8393.1299999999992</v>
      </c>
    </row>
    <row r="237" spans="1:15" x14ac:dyDescent="0.3">
      <c r="A237" t="s">
        <v>279</v>
      </c>
      <c r="B237" s="3">
        <v>45744</v>
      </c>
      <c r="C237" t="s">
        <v>220</v>
      </c>
      <c r="D237" t="s">
        <v>24</v>
      </c>
      <c r="E237" t="s">
        <v>18</v>
      </c>
      <c r="F237" t="s">
        <v>38</v>
      </c>
      <c r="G237" t="s">
        <v>39</v>
      </c>
      <c r="H237" t="s">
        <v>21</v>
      </c>
      <c r="I237">
        <v>15</v>
      </c>
      <c r="J237" s="6">
        <v>963.23</v>
      </c>
      <c r="K237" s="6">
        <v>14448.45</v>
      </c>
      <c r="L237" t="s">
        <v>22</v>
      </c>
      <c r="M237" t="s">
        <v>22</v>
      </c>
      <c r="N237" s="3">
        <v>46203</v>
      </c>
      <c r="O237" s="6">
        <v>14448.45</v>
      </c>
    </row>
    <row r="238" spans="1:15" x14ac:dyDescent="0.3">
      <c r="A238" t="s">
        <v>280</v>
      </c>
      <c r="B238" s="3">
        <v>45744</v>
      </c>
      <c r="C238" t="s">
        <v>220</v>
      </c>
      <c r="D238" t="s">
        <v>24</v>
      </c>
      <c r="E238" t="s">
        <v>50</v>
      </c>
      <c r="F238" t="s">
        <v>29</v>
      </c>
      <c r="G238" t="s">
        <v>26</v>
      </c>
      <c r="H238" t="s">
        <v>21</v>
      </c>
      <c r="I238">
        <v>15</v>
      </c>
      <c r="J238" s="6">
        <v>844.25</v>
      </c>
      <c r="K238" s="6">
        <v>12663.75</v>
      </c>
      <c r="L238" t="s">
        <v>22</v>
      </c>
      <c r="M238" t="s">
        <v>22</v>
      </c>
      <c r="N238" s="3">
        <v>46203</v>
      </c>
      <c r="O238" s="6">
        <v>12663.75</v>
      </c>
    </row>
    <row r="239" spans="1:15" x14ac:dyDescent="0.3">
      <c r="A239" t="s">
        <v>281</v>
      </c>
      <c r="B239" s="3">
        <v>45744</v>
      </c>
      <c r="C239" t="s">
        <v>220</v>
      </c>
      <c r="D239" t="s">
        <v>17</v>
      </c>
      <c r="E239" t="s">
        <v>50</v>
      </c>
      <c r="F239" t="s">
        <v>29</v>
      </c>
      <c r="G239" t="s">
        <v>20</v>
      </c>
      <c r="H239" t="s">
        <v>40</v>
      </c>
      <c r="I239">
        <v>15</v>
      </c>
      <c r="J239" s="6">
        <v>1609.93</v>
      </c>
      <c r="K239" s="6">
        <v>24148.95</v>
      </c>
      <c r="L239" t="s">
        <v>22</v>
      </c>
      <c r="M239" t="s">
        <v>22</v>
      </c>
      <c r="N239" s="3">
        <v>46203</v>
      </c>
      <c r="O239" s="6">
        <v>24148.95</v>
      </c>
    </row>
    <row r="240" spans="1:15" x14ac:dyDescent="0.3">
      <c r="A240" t="s">
        <v>282</v>
      </c>
      <c r="B240" s="3">
        <v>45745</v>
      </c>
      <c r="C240" t="s">
        <v>220</v>
      </c>
      <c r="D240" t="s">
        <v>49</v>
      </c>
      <c r="E240" t="s">
        <v>28</v>
      </c>
      <c r="F240" t="s">
        <v>29</v>
      </c>
      <c r="G240" t="s">
        <v>39</v>
      </c>
      <c r="H240" t="s">
        <v>40</v>
      </c>
      <c r="I240">
        <v>15</v>
      </c>
      <c r="J240" s="6">
        <v>492.33</v>
      </c>
      <c r="K240" s="6">
        <v>7384.95</v>
      </c>
      <c r="L240" t="s">
        <v>22</v>
      </c>
      <c r="M240" t="s">
        <v>22</v>
      </c>
      <c r="N240" s="3">
        <v>46203</v>
      </c>
      <c r="O240" s="6">
        <v>7384.95</v>
      </c>
    </row>
    <row r="241" spans="1:15" x14ac:dyDescent="0.3">
      <c r="A241" t="s">
        <v>283</v>
      </c>
      <c r="B241" s="3">
        <v>45745</v>
      </c>
      <c r="C241" t="s">
        <v>220</v>
      </c>
      <c r="D241" t="s">
        <v>24</v>
      </c>
      <c r="E241" t="s">
        <v>25</v>
      </c>
      <c r="F241" t="s">
        <v>33</v>
      </c>
      <c r="G241" t="s">
        <v>20</v>
      </c>
      <c r="H241" t="s">
        <v>40</v>
      </c>
      <c r="I241">
        <v>15</v>
      </c>
      <c r="J241" s="6">
        <v>973.66</v>
      </c>
      <c r="K241" s="6">
        <v>14604.9</v>
      </c>
      <c r="L241" t="s">
        <v>22</v>
      </c>
      <c r="M241" t="s">
        <v>22</v>
      </c>
      <c r="N241" s="3">
        <v>46203</v>
      </c>
      <c r="O241" s="6">
        <v>14604.9</v>
      </c>
    </row>
    <row r="242" spans="1:15" x14ac:dyDescent="0.3">
      <c r="A242" t="s">
        <v>284</v>
      </c>
      <c r="B242" s="3">
        <v>45745</v>
      </c>
      <c r="C242" t="s">
        <v>220</v>
      </c>
      <c r="D242" t="s">
        <v>49</v>
      </c>
      <c r="E242" t="s">
        <v>28</v>
      </c>
      <c r="F242" t="s">
        <v>38</v>
      </c>
      <c r="G242" t="s">
        <v>20</v>
      </c>
      <c r="H242" t="s">
        <v>21</v>
      </c>
      <c r="I242">
        <v>15</v>
      </c>
      <c r="J242" s="6">
        <v>510.6</v>
      </c>
      <c r="K242" s="6">
        <v>7659</v>
      </c>
      <c r="L242" t="s">
        <v>22</v>
      </c>
      <c r="M242" t="s">
        <v>22</v>
      </c>
      <c r="N242" s="3">
        <v>46203</v>
      </c>
      <c r="O242" s="6">
        <v>7659</v>
      </c>
    </row>
    <row r="243" spans="1:15" x14ac:dyDescent="0.3">
      <c r="A243" t="s">
        <v>285</v>
      </c>
      <c r="B243" s="3">
        <v>45745</v>
      </c>
      <c r="C243" t="s">
        <v>220</v>
      </c>
      <c r="D243" t="s">
        <v>24</v>
      </c>
      <c r="E243" t="s">
        <v>25</v>
      </c>
      <c r="F243" t="s">
        <v>29</v>
      </c>
      <c r="G243" t="s">
        <v>26</v>
      </c>
      <c r="H243" t="s">
        <v>34</v>
      </c>
      <c r="I243">
        <v>15</v>
      </c>
      <c r="J243" s="6">
        <v>981.28</v>
      </c>
      <c r="K243" s="6">
        <v>14719.2</v>
      </c>
      <c r="L243" t="s">
        <v>22</v>
      </c>
      <c r="M243" t="s">
        <v>22</v>
      </c>
      <c r="N243" s="3">
        <v>46203</v>
      </c>
      <c r="O243" s="6">
        <v>14719.2</v>
      </c>
    </row>
    <row r="244" spans="1:15" x14ac:dyDescent="0.3">
      <c r="A244" t="s">
        <v>286</v>
      </c>
      <c r="B244" s="3">
        <v>45745</v>
      </c>
      <c r="C244" t="s">
        <v>220</v>
      </c>
      <c r="D244" t="s">
        <v>24</v>
      </c>
      <c r="E244" t="s">
        <v>18</v>
      </c>
      <c r="F244" t="s">
        <v>29</v>
      </c>
      <c r="G244" t="s">
        <v>39</v>
      </c>
      <c r="H244" t="s">
        <v>21</v>
      </c>
      <c r="I244">
        <v>15</v>
      </c>
      <c r="J244" s="6">
        <v>981.67</v>
      </c>
      <c r="K244" s="6">
        <v>14725.05</v>
      </c>
      <c r="L244" t="s">
        <v>22</v>
      </c>
      <c r="M244" t="s">
        <v>22</v>
      </c>
      <c r="N244" s="3">
        <v>46203</v>
      </c>
      <c r="O244" s="6">
        <v>14725.05</v>
      </c>
    </row>
    <row r="245" spans="1:15" x14ac:dyDescent="0.3">
      <c r="A245" t="s">
        <v>287</v>
      </c>
      <c r="B245" s="3">
        <v>45745</v>
      </c>
      <c r="C245" t="s">
        <v>220</v>
      </c>
      <c r="D245" t="s">
        <v>24</v>
      </c>
      <c r="E245" t="s">
        <v>28</v>
      </c>
      <c r="F245" t="s">
        <v>29</v>
      </c>
      <c r="G245" t="s">
        <v>39</v>
      </c>
      <c r="H245" t="s">
        <v>34</v>
      </c>
      <c r="I245">
        <v>15</v>
      </c>
      <c r="J245" s="6">
        <v>947.43</v>
      </c>
      <c r="K245" s="6">
        <v>14211.45</v>
      </c>
      <c r="L245" t="s">
        <v>22</v>
      </c>
      <c r="M245" t="s">
        <v>22</v>
      </c>
      <c r="N245" s="3">
        <v>46203</v>
      </c>
      <c r="O245" s="6">
        <v>14211.45</v>
      </c>
    </row>
    <row r="246" spans="1:15" x14ac:dyDescent="0.3">
      <c r="A246" t="s">
        <v>288</v>
      </c>
      <c r="B246" s="3">
        <v>45747</v>
      </c>
      <c r="C246" t="s">
        <v>220</v>
      </c>
      <c r="D246" t="s">
        <v>17</v>
      </c>
      <c r="E246" t="s">
        <v>25</v>
      </c>
      <c r="F246" t="s">
        <v>29</v>
      </c>
      <c r="G246" t="s">
        <v>39</v>
      </c>
      <c r="H246" t="s">
        <v>21</v>
      </c>
      <c r="I246">
        <v>1</v>
      </c>
      <c r="J246" s="6">
        <v>1355.26</v>
      </c>
      <c r="K246" s="6">
        <v>1355.26</v>
      </c>
      <c r="L246" t="s">
        <v>30</v>
      </c>
      <c r="M246" t="s">
        <v>80</v>
      </c>
      <c r="N246" s="3">
        <v>45779</v>
      </c>
      <c r="O246" s="6">
        <v>1355.26</v>
      </c>
    </row>
    <row r="247" spans="1:15" x14ac:dyDescent="0.3">
      <c r="A247" t="s">
        <v>289</v>
      </c>
      <c r="B247" s="3">
        <v>45747</v>
      </c>
      <c r="C247" t="s">
        <v>220</v>
      </c>
      <c r="D247" t="s">
        <v>49</v>
      </c>
      <c r="E247" t="s">
        <v>18</v>
      </c>
      <c r="F247" t="s">
        <v>33</v>
      </c>
      <c r="G247" t="s">
        <v>39</v>
      </c>
      <c r="H247" t="s">
        <v>40</v>
      </c>
      <c r="I247">
        <v>15</v>
      </c>
      <c r="J247" s="6">
        <v>501.36</v>
      </c>
      <c r="K247" s="6">
        <v>7520.4</v>
      </c>
      <c r="L247" t="s">
        <v>22</v>
      </c>
      <c r="M247" t="s">
        <v>22</v>
      </c>
      <c r="N247" s="3">
        <v>46203</v>
      </c>
      <c r="O247" s="6">
        <v>7520.4</v>
      </c>
    </row>
    <row r="248" spans="1:15" x14ac:dyDescent="0.3">
      <c r="A248" t="s">
        <v>290</v>
      </c>
      <c r="B248" s="3">
        <v>45747</v>
      </c>
      <c r="C248" t="s">
        <v>220</v>
      </c>
      <c r="D248" t="s">
        <v>24</v>
      </c>
      <c r="E248" t="s">
        <v>28</v>
      </c>
      <c r="F248" t="s">
        <v>51</v>
      </c>
      <c r="G248" t="s">
        <v>39</v>
      </c>
      <c r="H248" t="s">
        <v>34</v>
      </c>
      <c r="I248">
        <v>7</v>
      </c>
      <c r="J248" s="6">
        <v>887.64</v>
      </c>
      <c r="K248" s="6">
        <v>6213.48</v>
      </c>
      <c r="L248" t="s">
        <v>30</v>
      </c>
      <c r="M248" t="s">
        <v>31</v>
      </c>
      <c r="N248" s="3">
        <v>45955</v>
      </c>
      <c r="O248" s="6">
        <v>6213.48</v>
      </c>
    </row>
    <row r="249" spans="1:15" x14ac:dyDescent="0.3">
      <c r="A249" t="s">
        <v>291</v>
      </c>
      <c r="B249" s="3">
        <v>45747</v>
      </c>
      <c r="C249" t="s">
        <v>220</v>
      </c>
      <c r="D249" t="s">
        <v>24</v>
      </c>
      <c r="E249" t="s">
        <v>28</v>
      </c>
      <c r="F249" t="s">
        <v>19</v>
      </c>
      <c r="G249" t="s">
        <v>26</v>
      </c>
      <c r="H249" t="s">
        <v>40</v>
      </c>
      <c r="I249">
        <v>15</v>
      </c>
      <c r="J249" s="6">
        <v>868.11</v>
      </c>
      <c r="K249" s="6">
        <v>13021.65</v>
      </c>
      <c r="L249" t="s">
        <v>22</v>
      </c>
      <c r="M249" t="s">
        <v>22</v>
      </c>
      <c r="N249" s="3">
        <v>46203</v>
      </c>
      <c r="O249" s="6">
        <v>13021.65</v>
      </c>
    </row>
    <row r="250" spans="1:15" x14ac:dyDescent="0.3">
      <c r="A250" t="s">
        <v>292</v>
      </c>
      <c r="B250" s="3">
        <v>45747</v>
      </c>
      <c r="C250" t="s">
        <v>220</v>
      </c>
      <c r="D250" t="s">
        <v>49</v>
      </c>
      <c r="E250" t="s">
        <v>50</v>
      </c>
      <c r="F250" t="s">
        <v>38</v>
      </c>
      <c r="G250" t="s">
        <v>39</v>
      </c>
      <c r="H250" t="s">
        <v>40</v>
      </c>
      <c r="I250">
        <v>3</v>
      </c>
      <c r="J250" s="6">
        <v>509.54</v>
      </c>
      <c r="K250" s="6">
        <v>1528.62</v>
      </c>
      <c r="L250" t="s">
        <v>30</v>
      </c>
      <c r="M250" t="s">
        <v>41</v>
      </c>
      <c r="N250" s="3">
        <v>45825</v>
      </c>
      <c r="O250" s="6">
        <v>1528.62</v>
      </c>
    </row>
    <row r="251" spans="1:15" x14ac:dyDescent="0.3">
      <c r="A251" t="s">
        <v>293</v>
      </c>
      <c r="B251" s="3">
        <v>45748</v>
      </c>
      <c r="C251" t="s">
        <v>294</v>
      </c>
      <c r="D251" t="s">
        <v>24</v>
      </c>
      <c r="E251" t="s">
        <v>50</v>
      </c>
      <c r="F251" t="s">
        <v>33</v>
      </c>
      <c r="G251" t="s">
        <v>39</v>
      </c>
      <c r="H251" t="s">
        <v>45</v>
      </c>
      <c r="I251">
        <v>15</v>
      </c>
      <c r="J251" s="6">
        <v>823.51</v>
      </c>
      <c r="K251" s="6">
        <v>12352.65</v>
      </c>
      <c r="L251" t="s">
        <v>22</v>
      </c>
      <c r="M251" t="s">
        <v>22</v>
      </c>
      <c r="N251" s="3">
        <v>46203</v>
      </c>
      <c r="O251" s="6">
        <v>12352.65</v>
      </c>
    </row>
    <row r="252" spans="1:15" x14ac:dyDescent="0.3">
      <c r="A252" t="s">
        <v>295</v>
      </c>
      <c r="B252" s="3">
        <v>45748</v>
      </c>
      <c r="C252" t="s">
        <v>294</v>
      </c>
      <c r="D252" t="s">
        <v>49</v>
      </c>
      <c r="E252" t="s">
        <v>25</v>
      </c>
      <c r="F252" t="s">
        <v>33</v>
      </c>
      <c r="G252" t="s">
        <v>39</v>
      </c>
      <c r="H252" t="s">
        <v>40</v>
      </c>
      <c r="I252">
        <v>5</v>
      </c>
      <c r="J252" s="6">
        <v>534.34</v>
      </c>
      <c r="K252" s="6">
        <v>2671.7</v>
      </c>
      <c r="L252" t="s">
        <v>30</v>
      </c>
      <c r="M252" t="s">
        <v>41</v>
      </c>
      <c r="N252" s="3">
        <v>45886</v>
      </c>
      <c r="O252" s="6">
        <v>2671.7</v>
      </c>
    </row>
    <row r="253" spans="1:15" x14ac:dyDescent="0.3">
      <c r="A253" t="s">
        <v>296</v>
      </c>
      <c r="B253" s="3">
        <v>45749</v>
      </c>
      <c r="C253" t="s">
        <v>294</v>
      </c>
      <c r="D253" t="s">
        <v>49</v>
      </c>
      <c r="E253" t="s">
        <v>25</v>
      </c>
      <c r="F253" t="s">
        <v>33</v>
      </c>
      <c r="G253" t="s">
        <v>39</v>
      </c>
      <c r="H253" t="s">
        <v>40</v>
      </c>
      <c r="I253">
        <v>15</v>
      </c>
      <c r="J253" s="6">
        <v>487.69</v>
      </c>
      <c r="K253" s="6">
        <v>7315.35</v>
      </c>
      <c r="L253" t="s">
        <v>22</v>
      </c>
      <c r="M253" t="s">
        <v>22</v>
      </c>
      <c r="N253" s="3">
        <v>46203</v>
      </c>
      <c r="O253" s="6">
        <v>7315.35</v>
      </c>
    </row>
    <row r="254" spans="1:15" x14ac:dyDescent="0.3">
      <c r="A254" t="s">
        <v>297</v>
      </c>
      <c r="B254" s="3">
        <v>45749</v>
      </c>
      <c r="C254" t="s">
        <v>294</v>
      </c>
      <c r="D254" t="s">
        <v>24</v>
      </c>
      <c r="E254" t="s">
        <v>50</v>
      </c>
      <c r="F254" t="s">
        <v>29</v>
      </c>
      <c r="G254" t="s">
        <v>20</v>
      </c>
      <c r="H254" t="s">
        <v>21</v>
      </c>
      <c r="I254">
        <v>15</v>
      </c>
      <c r="J254" s="6">
        <v>849.77</v>
      </c>
      <c r="K254" s="6">
        <v>12746.55</v>
      </c>
      <c r="L254" t="s">
        <v>22</v>
      </c>
      <c r="M254" t="s">
        <v>22</v>
      </c>
      <c r="N254" s="3">
        <v>46203</v>
      </c>
      <c r="O254" s="6">
        <v>12746.55</v>
      </c>
    </row>
    <row r="255" spans="1:15" x14ac:dyDescent="0.3">
      <c r="A255" t="s">
        <v>298</v>
      </c>
      <c r="B255" s="3">
        <v>45749</v>
      </c>
      <c r="C255" t="s">
        <v>294</v>
      </c>
      <c r="D255" t="s">
        <v>24</v>
      </c>
      <c r="E255" t="s">
        <v>50</v>
      </c>
      <c r="F255" t="s">
        <v>33</v>
      </c>
      <c r="G255" t="s">
        <v>39</v>
      </c>
      <c r="H255" t="s">
        <v>21</v>
      </c>
      <c r="I255">
        <v>10</v>
      </c>
      <c r="J255" s="6">
        <v>957.87</v>
      </c>
      <c r="K255" s="6">
        <v>9578.7000000000007</v>
      </c>
      <c r="L255" t="s">
        <v>30</v>
      </c>
      <c r="M255" t="s">
        <v>31</v>
      </c>
      <c r="N255" s="3">
        <v>46057</v>
      </c>
      <c r="O255" s="6">
        <v>9578.7000000000007</v>
      </c>
    </row>
    <row r="256" spans="1:15" x14ac:dyDescent="0.3">
      <c r="A256" t="s">
        <v>299</v>
      </c>
      <c r="B256" s="3">
        <v>45750</v>
      </c>
      <c r="C256" t="s">
        <v>294</v>
      </c>
      <c r="D256" t="s">
        <v>17</v>
      </c>
      <c r="E256" t="s">
        <v>25</v>
      </c>
      <c r="F256" t="s">
        <v>33</v>
      </c>
      <c r="G256" t="s">
        <v>39</v>
      </c>
      <c r="H256" t="s">
        <v>21</v>
      </c>
      <c r="I256">
        <v>15</v>
      </c>
      <c r="J256" s="6">
        <v>1612.33</v>
      </c>
      <c r="K256" s="6">
        <v>24184.95</v>
      </c>
      <c r="L256" t="s">
        <v>22</v>
      </c>
      <c r="M256" t="s">
        <v>22</v>
      </c>
      <c r="N256" s="3">
        <v>46203</v>
      </c>
      <c r="O256" s="6">
        <v>24184.95</v>
      </c>
    </row>
    <row r="257" spans="1:15" x14ac:dyDescent="0.3">
      <c r="A257" t="s">
        <v>300</v>
      </c>
      <c r="B257" s="3">
        <v>45750</v>
      </c>
      <c r="C257" t="s">
        <v>294</v>
      </c>
      <c r="D257" t="s">
        <v>49</v>
      </c>
      <c r="E257" t="s">
        <v>18</v>
      </c>
      <c r="F257" t="s">
        <v>29</v>
      </c>
      <c r="G257" t="s">
        <v>39</v>
      </c>
      <c r="H257" t="s">
        <v>45</v>
      </c>
      <c r="I257">
        <v>15</v>
      </c>
      <c r="J257" s="6">
        <v>490.58</v>
      </c>
      <c r="K257" s="6">
        <v>7358.7</v>
      </c>
      <c r="L257" t="s">
        <v>22</v>
      </c>
      <c r="M257" t="s">
        <v>22</v>
      </c>
      <c r="N257" s="3">
        <v>46203</v>
      </c>
      <c r="O257" s="6">
        <v>7358.7</v>
      </c>
    </row>
    <row r="258" spans="1:15" x14ac:dyDescent="0.3">
      <c r="A258" t="s">
        <v>301</v>
      </c>
      <c r="B258" s="3">
        <v>45751</v>
      </c>
      <c r="C258" t="s">
        <v>294</v>
      </c>
      <c r="D258" t="s">
        <v>49</v>
      </c>
      <c r="E258" t="s">
        <v>28</v>
      </c>
      <c r="F258" t="s">
        <v>51</v>
      </c>
      <c r="G258" t="s">
        <v>20</v>
      </c>
      <c r="H258" t="s">
        <v>40</v>
      </c>
      <c r="I258">
        <v>15</v>
      </c>
      <c r="J258" s="6">
        <v>459.99</v>
      </c>
      <c r="K258" s="6">
        <v>6899.85</v>
      </c>
      <c r="L258" t="s">
        <v>22</v>
      </c>
      <c r="M258" t="s">
        <v>22</v>
      </c>
      <c r="N258" s="3">
        <v>46203</v>
      </c>
      <c r="O258" s="6">
        <v>6899.85</v>
      </c>
    </row>
    <row r="259" spans="1:15" x14ac:dyDescent="0.3">
      <c r="A259" t="s">
        <v>302</v>
      </c>
      <c r="B259" s="3">
        <v>45751</v>
      </c>
      <c r="C259" t="s">
        <v>294</v>
      </c>
      <c r="D259" t="s">
        <v>17</v>
      </c>
      <c r="E259" t="s">
        <v>28</v>
      </c>
      <c r="F259" t="s">
        <v>19</v>
      </c>
      <c r="G259" t="s">
        <v>39</v>
      </c>
      <c r="H259" t="s">
        <v>21</v>
      </c>
      <c r="I259">
        <v>3</v>
      </c>
      <c r="J259" s="6">
        <v>1615.68</v>
      </c>
      <c r="K259" s="6">
        <v>4847.04</v>
      </c>
      <c r="L259" t="s">
        <v>30</v>
      </c>
      <c r="M259" t="s">
        <v>41</v>
      </c>
      <c r="N259" s="3">
        <v>45852</v>
      </c>
      <c r="O259" s="6">
        <v>4847.04</v>
      </c>
    </row>
    <row r="260" spans="1:15" x14ac:dyDescent="0.3">
      <c r="A260" t="s">
        <v>303</v>
      </c>
      <c r="B260" s="3">
        <v>45753</v>
      </c>
      <c r="C260" t="s">
        <v>294</v>
      </c>
      <c r="D260" t="s">
        <v>17</v>
      </c>
      <c r="E260" t="s">
        <v>18</v>
      </c>
      <c r="F260" t="s">
        <v>51</v>
      </c>
      <c r="G260" t="s">
        <v>20</v>
      </c>
      <c r="H260" t="s">
        <v>34</v>
      </c>
      <c r="I260">
        <v>7</v>
      </c>
      <c r="J260" s="6">
        <v>1580.63</v>
      </c>
      <c r="K260" s="6">
        <v>11064.41</v>
      </c>
      <c r="L260" t="s">
        <v>30</v>
      </c>
      <c r="M260" t="s">
        <v>36</v>
      </c>
      <c r="N260" s="3">
        <v>45956</v>
      </c>
      <c r="O260" s="6">
        <v>11064.41</v>
      </c>
    </row>
    <row r="261" spans="1:15" x14ac:dyDescent="0.3">
      <c r="A261" t="s">
        <v>304</v>
      </c>
      <c r="B261" s="3">
        <v>45753</v>
      </c>
      <c r="C261" t="s">
        <v>294</v>
      </c>
      <c r="D261" t="s">
        <v>24</v>
      </c>
      <c r="E261" t="s">
        <v>28</v>
      </c>
      <c r="F261" t="s">
        <v>33</v>
      </c>
      <c r="G261" t="s">
        <v>39</v>
      </c>
      <c r="H261" t="s">
        <v>21</v>
      </c>
      <c r="I261">
        <v>9</v>
      </c>
      <c r="J261" s="6">
        <v>859.63</v>
      </c>
      <c r="K261" s="6">
        <v>7736.67</v>
      </c>
      <c r="L261" t="s">
        <v>30</v>
      </c>
      <c r="M261" t="s">
        <v>36</v>
      </c>
      <c r="N261" s="3">
        <v>46016</v>
      </c>
      <c r="O261" s="6">
        <v>7736.67</v>
      </c>
    </row>
    <row r="262" spans="1:15" x14ac:dyDescent="0.3">
      <c r="A262" t="s">
        <v>305</v>
      </c>
      <c r="B262" s="3">
        <v>45754</v>
      </c>
      <c r="C262" t="s">
        <v>294</v>
      </c>
      <c r="D262" t="s">
        <v>24</v>
      </c>
      <c r="E262" t="s">
        <v>50</v>
      </c>
      <c r="F262" t="s">
        <v>29</v>
      </c>
      <c r="G262" t="s">
        <v>39</v>
      </c>
      <c r="H262" t="s">
        <v>21</v>
      </c>
      <c r="I262">
        <v>15</v>
      </c>
      <c r="J262" s="6">
        <v>819.46</v>
      </c>
      <c r="K262" s="6">
        <v>12291.9</v>
      </c>
      <c r="L262" t="s">
        <v>22</v>
      </c>
      <c r="M262" t="s">
        <v>22</v>
      </c>
      <c r="N262" s="3">
        <v>46203</v>
      </c>
      <c r="O262" s="6">
        <v>12291.9</v>
      </c>
    </row>
    <row r="263" spans="1:15" x14ac:dyDescent="0.3">
      <c r="A263" t="s">
        <v>306</v>
      </c>
      <c r="B263" s="3">
        <v>45755</v>
      </c>
      <c r="C263" t="s">
        <v>294</v>
      </c>
      <c r="D263" t="s">
        <v>24</v>
      </c>
      <c r="E263" t="s">
        <v>25</v>
      </c>
      <c r="F263" t="s">
        <v>19</v>
      </c>
      <c r="G263" t="s">
        <v>20</v>
      </c>
      <c r="H263" t="s">
        <v>34</v>
      </c>
      <c r="I263">
        <v>15</v>
      </c>
      <c r="J263" s="6">
        <v>832.8</v>
      </c>
      <c r="K263" s="6">
        <v>12492</v>
      </c>
      <c r="L263" t="s">
        <v>22</v>
      </c>
      <c r="M263" t="s">
        <v>22</v>
      </c>
      <c r="N263" s="3">
        <v>46203</v>
      </c>
      <c r="O263" s="6">
        <v>12492</v>
      </c>
    </row>
    <row r="264" spans="1:15" x14ac:dyDescent="0.3">
      <c r="A264" t="s">
        <v>307</v>
      </c>
      <c r="B264" s="3">
        <v>45755</v>
      </c>
      <c r="C264" t="s">
        <v>294</v>
      </c>
      <c r="D264" t="s">
        <v>24</v>
      </c>
      <c r="E264" t="s">
        <v>50</v>
      </c>
      <c r="F264" t="s">
        <v>29</v>
      </c>
      <c r="G264" t="s">
        <v>39</v>
      </c>
      <c r="H264" t="s">
        <v>21</v>
      </c>
      <c r="I264">
        <v>15</v>
      </c>
      <c r="J264" s="6">
        <v>883.64</v>
      </c>
      <c r="K264" s="6">
        <v>13254.6</v>
      </c>
      <c r="L264" t="s">
        <v>22</v>
      </c>
      <c r="M264" t="s">
        <v>22</v>
      </c>
      <c r="N264" s="3">
        <v>46203</v>
      </c>
      <c r="O264" s="6">
        <v>13254.6</v>
      </c>
    </row>
    <row r="265" spans="1:15" x14ac:dyDescent="0.3">
      <c r="A265" t="s">
        <v>308</v>
      </c>
      <c r="B265" s="3">
        <v>45755</v>
      </c>
      <c r="C265" t="s">
        <v>294</v>
      </c>
      <c r="D265" t="s">
        <v>24</v>
      </c>
      <c r="E265" t="s">
        <v>25</v>
      </c>
      <c r="F265" t="s">
        <v>33</v>
      </c>
      <c r="G265" t="s">
        <v>39</v>
      </c>
      <c r="H265" t="s">
        <v>21</v>
      </c>
      <c r="I265">
        <v>15</v>
      </c>
      <c r="J265" s="6">
        <v>933.29</v>
      </c>
      <c r="K265" s="6">
        <v>13999.35</v>
      </c>
      <c r="L265" t="s">
        <v>22</v>
      </c>
      <c r="M265" t="s">
        <v>22</v>
      </c>
      <c r="N265" s="3">
        <v>46203</v>
      </c>
      <c r="O265" s="6">
        <v>13999.35</v>
      </c>
    </row>
    <row r="266" spans="1:15" x14ac:dyDescent="0.3">
      <c r="A266" t="s">
        <v>309</v>
      </c>
      <c r="B266" s="3">
        <v>45756</v>
      </c>
      <c r="C266" t="s">
        <v>294</v>
      </c>
      <c r="D266" t="s">
        <v>17</v>
      </c>
      <c r="E266" t="s">
        <v>50</v>
      </c>
      <c r="F266" t="s">
        <v>29</v>
      </c>
      <c r="G266" t="s">
        <v>39</v>
      </c>
      <c r="H266" t="s">
        <v>21</v>
      </c>
      <c r="I266">
        <v>15</v>
      </c>
      <c r="J266" s="6">
        <v>1573.93</v>
      </c>
      <c r="K266" s="6">
        <v>23608.95</v>
      </c>
      <c r="L266" t="s">
        <v>22</v>
      </c>
      <c r="M266" t="s">
        <v>22</v>
      </c>
      <c r="N266" s="3">
        <v>46203</v>
      </c>
      <c r="O266" s="6">
        <v>23608.95</v>
      </c>
    </row>
    <row r="267" spans="1:15" x14ac:dyDescent="0.3">
      <c r="A267" t="s">
        <v>310</v>
      </c>
      <c r="B267" s="3">
        <v>45756</v>
      </c>
      <c r="C267" t="s">
        <v>294</v>
      </c>
      <c r="D267" t="s">
        <v>24</v>
      </c>
      <c r="E267" t="s">
        <v>25</v>
      </c>
      <c r="F267" t="s">
        <v>33</v>
      </c>
      <c r="G267" t="s">
        <v>39</v>
      </c>
      <c r="H267" t="s">
        <v>34</v>
      </c>
      <c r="I267">
        <v>3</v>
      </c>
      <c r="J267" s="6">
        <v>949.85</v>
      </c>
      <c r="K267" s="6">
        <v>2849.55</v>
      </c>
      <c r="L267" t="s">
        <v>30</v>
      </c>
      <c r="M267" t="s">
        <v>36</v>
      </c>
      <c r="N267" s="3">
        <v>45859</v>
      </c>
      <c r="O267" s="6">
        <v>2849.55</v>
      </c>
    </row>
    <row r="268" spans="1:15" x14ac:dyDescent="0.3">
      <c r="A268" t="s">
        <v>311</v>
      </c>
      <c r="B268" s="3">
        <v>45756</v>
      </c>
      <c r="C268" t="s">
        <v>294</v>
      </c>
      <c r="D268" t="s">
        <v>49</v>
      </c>
      <c r="E268" t="s">
        <v>25</v>
      </c>
      <c r="F268" t="s">
        <v>29</v>
      </c>
      <c r="G268" t="s">
        <v>39</v>
      </c>
      <c r="H268" t="s">
        <v>45</v>
      </c>
      <c r="I268">
        <v>14</v>
      </c>
      <c r="J268" s="6">
        <v>469.22</v>
      </c>
      <c r="K268" s="6">
        <v>6569.08</v>
      </c>
      <c r="L268" t="s">
        <v>30</v>
      </c>
      <c r="M268" t="s">
        <v>31</v>
      </c>
      <c r="N268" s="3">
        <v>46192</v>
      </c>
      <c r="O268" s="6">
        <v>6569.08</v>
      </c>
    </row>
    <row r="269" spans="1:15" x14ac:dyDescent="0.3">
      <c r="A269" t="s">
        <v>312</v>
      </c>
      <c r="B269" s="3">
        <v>45756</v>
      </c>
      <c r="C269" t="s">
        <v>294</v>
      </c>
      <c r="D269" t="s">
        <v>49</v>
      </c>
      <c r="E269" t="s">
        <v>25</v>
      </c>
      <c r="F269" t="s">
        <v>29</v>
      </c>
      <c r="G269" t="s">
        <v>39</v>
      </c>
      <c r="H269" t="s">
        <v>21</v>
      </c>
      <c r="I269">
        <v>15</v>
      </c>
      <c r="J269" s="6">
        <v>528.11</v>
      </c>
      <c r="K269" s="6">
        <v>7921.65</v>
      </c>
      <c r="L269" t="s">
        <v>22</v>
      </c>
      <c r="M269" t="s">
        <v>22</v>
      </c>
      <c r="N269" s="3">
        <v>46203</v>
      </c>
      <c r="O269" s="6">
        <v>7921.65</v>
      </c>
    </row>
    <row r="270" spans="1:15" x14ac:dyDescent="0.3">
      <c r="A270" t="s">
        <v>313</v>
      </c>
      <c r="B270" s="3">
        <v>45757</v>
      </c>
      <c r="C270" t="s">
        <v>294</v>
      </c>
      <c r="D270" t="s">
        <v>49</v>
      </c>
      <c r="E270" t="s">
        <v>18</v>
      </c>
      <c r="F270" t="s">
        <v>29</v>
      </c>
      <c r="G270" t="s">
        <v>20</v>
      </c>
      <c r="H270" t="s">
        <v>21</v>
      </c>
      <c r="I270">
        <v>15</v>
      </c>
      <c r="J270" s="6">
        <v>468.89</v>
      </c>
      <c r="K270" s="6">
        <v>7033.35</v>
      </c>
      <c r="L270" t="s">
        <v>22</v>
      </c>
      <c r="M270" t="s">
        <v>22</v>
      </c>
      <c r="N270" s="3">
        <v>46203</v>
      </c>
      <c r="O270" s="6">
        <v>7033.35</v>
      </c>
    </row>
    <row r="271" spans="1:15" x14ac:dyDescent="0.3">
      <c r="A271" t="s">
        <v>314</v>
      </c>
      <c r="B271" s="3">
        <v>45758</v>
      </c>
      <c r="C271" t="s">
        <v>294</v>
      </c>
      <c r="D271" t="s">
        <v>49</v>
      </c>
      <c r="E271" t="s">
        <v>25</v>
      </c>
      <c r="F271" t="s">
        <v>33</v>
      </c>
      <c r="G271" t="s">
        <v>39</v>
      </c>
      <c r="H271" t="s">
        <v>21</v>
      </c>
      <c r="I271">
        <v>15</v>
      </c>
      <c r="J271" s="6">
        <v>548.45000000000005</v>
      </c>
      <c r="K271" s="6">
        <v>8226.75</v>
      </c>
      <c r="L271" t="s">
        <v>22</v>
      </c>
      <c r="M271" t="s">
        <v>22</v>
      </c>
      <c r="N271" s="3">
        <v>46203</v>
      </c>
      <c r="O271" s="6">
        <v>8226.75</v>
      </c>
    </row>
    <row r="272" spans="1:15" x14ac:dyDescent="0.3">
      <c r="A272" t="s">
        <v>315</v>
      </c>
      <c r="B272" s="3">
        <v>45758</v>
      </c>
      <c r="C272" t="s">
        <v>294</v>
      </c>
      <c r="D272" t="s">
        <v>49</v>
      </c>
      <c r="E272" t="s">
        <v>28</v>
      </c>
      <c r="F272" t="s">
        <v>19</v>
      </c>
      <c r="G272" t="s">
        <v>20</v>
      </c>
      <c r="H272" t="s">
        <v>40</v>
      </c>
      <c r="I272">
        <v>13</v>
      </c>
      <c r="J272" s="6">
        <v>527.34</v>
      </c>
      <c r="K272" s="6">
        <v>6855.42</v>
      </c>
      <c r="L272" t="s">
        <v>30</v>
      </c>
      <c r="M272" t="s">
        <v>36</v>
      </c>
      <c r="N272" s="3">
        <v>46155</v>
      </c>
      <c r="O272" s="6">
        <v>6855.42</v>
      </c>
    </row>
    <row r="273" spans="1:15" x14ac:dyDescent="0.3">
      <c r="A273" t="s">
        <v>316</v>
      </c>
      <c r="B273" s="3">
        <v>45758</v>
      </c>
      <c r="C273" t="s">
        <v>294</v>
      </c>
      <c r="D273" t="s">
        <v>24</v>
      </c>
      <c r="E273" t="s">
        <v>25</v>
      </c>
      <c r="F273" t="s">
        <v>33</v>
      </c>
      <c r="G273" t="s">
        <v>39</v>
      </c>
      <c r="H273" t="s">
        <v>21</v>
      </c>
      <c r="I273">
        <v>15</v>
      </c>
      <c r="J273" s="6">
        <v>820.06</v>
      </c>
      <c r="K273" s="6">
        <v>12300.9</v>
      </c>
      <c r="L273" t="s">
        <v>22</v>
      </c>
      <c r="M273" t="s">
        <v>22</v>
      </c>
      <c r="N273" s="3">
        <v>46203</v>
      </c>
      <c r="O273" s="6">
        <v>12300.9</v>
      </c>
    </row>
    <row r="274" spans="1:15" x14ac:dyDescent="0.3">
      <c r="A274" t="s">
        <v>317</v>
      </c>
      <c r="B274" s="3">
        <v>45759</v>
      </c>
      <c r="C274" t="s">
        <v>294</v>
      </c>
      <c r="D274" t="s">
        <v>24</v>
      </c>
      <c r="E274" t="s">
        <v>25</v>
      </c>
      <c r="F274" t="s">
        <v>38</v>
      </c>
      <c r="G274" t="s">
        <v>20</v>
      </c>
      <c r="H274" t="s">
        <v>45</v>
      </c>
      <c r="I274">
        <v>15</v>
      </c>
      <c r="J274" s="6">
        <v>817.57</v>
      </c>
      <c r="K274" s="6">
        <v>12263.55</v>
      </c>
      <c r="L274" t="s">
        <v>22</v>
      </c>
      <c r="M274" t="s">
        <v>22</v>
      </c>
      <c r="N274" s="3">
        <v>46203</v>
      </c>
      <c r="O274" s="6">
        <v>12263.55</v>
      </c>
    </row>
    <row r="275" spans="1:15" x14ac:dyDescent="0.3">
      <c r="A275" t="s">
        <v>318</v>
      </c>
      <c r="B275" s="3">
        <v>45759</v>
      </c>
      <c r="C275" t="s">
        <v>294</v>
      </c>
      <c r="D275" t="s">
        <v>49</v>
      </c>
      <c r="E275" t="s">
        <v>28</v>
      </c>
      <c r="F275" t="s">
        <v>38</v>
      </c>
      <c r="G275" t="s">
        <v>39</v>
      </c>
      <c r="H275" t="s">
        <v>40</v>
      </c>
      <c r="I275">
        <v>15</v>
      </c>
      <c r="J275" s="6">
        <v>525.01</v>
      </c>
      <c r="K275" s="6">
        <v>7875.15</v>
      </c>
      <c r="L275" t="s">
        <v>22</v>
      </c>
      <c r="M275" t="s">
        <v>22</v>
      </c>
      <c r="N275" s="3">
        <v>46203</v>
      </c>
      <c r="O275" s="6">
        <v>7875.15</v>
      </c>
    </row>
    <row r="276" spans="1:15" x14ac:dyDescent="0.3">
      <c r="A276" t="s">
        <v>319</v>
      </c>
      <c r="B276" s="3">
        <v>45759</v>
      </c>
      <c r="C276" t="s">
        <v>294</v>
      </c>
      <c r="D276" t="s">
        <v>49</v>
      </c>
      <c r="E276" t="s">
        <v>18</v>
      </c>
      <c r="F276" t="s">
        <v>33</v>
      </c>
      <c r="G276" t="s">
        <v>39</v>
      </c>
      <c r="H276" t="s">
        <v>21</v>
      </c>
      <c r="I276">
        <v>15</v>
      </c>
      <c r="J276" s="6">
        <v>485.97</v>
      </c>
      <c r="K276" s="6">
        <v>7289.55</v>
      </c>
      <c r="L276" t="s">
        <v>22</v>
      </c>
      <c r="M276" t="s">
        <v>22</v>
      </c>
      <c r="N276" s="3">
        <v>46203</v>
      </c>
      <c r="O276" s="6">
        <v>7289.55</v>
      </c>
    </row>
    <row r="277" spans="1:15" x14ac:dyDescent="0.3">
      <c r="A277" t="s">
        <v>320</v>
      </c>
      <c r="B277" s="3">
        <v>45759</v>
      </c>
      <c r="C277" t="s">
        <v>294</v>
      </c>
      <c r="D277" t="s">
        <v>17</v>
      </c>
      <c r="E277" t="s">
        <v>50</v>
      </c>
      <c r="F277" t="s">
        <v>19</v>
      </c>
      <c r="G277" t="s">
        <v>20</v>
      </c>
      <c r="H277" t="s">
        <v>21</v>
      </c>
      <c r="I277">
        <v>15</v>
      </c>
      <c r="J277" s="6">
        <v>1507.7</v>
      </c>
      <c r="K277" s="6">
        <v>22615.5</v>
      </c>
      <c r="L277" t="s">
        <v>22</v>
      </c>
      <c r="M277" t="s">
        <v>22</v>
      </c>
      <c r="N277" s="3">
        <v>46203</v>
      </c>
      <c r="O277" s="6">
        <v>22615.5</v>
      </c>
    </row>
    <row r="278" spans="1:15" x14ac:dyDescent="0.3">
      <c r="A278" t="s">
        <v>321</v>
      </c>
      <c r="B278" s="3">
        <v>45760</v>
      </c>
      <c r="C278" t="s">
        <v>294</v>
      </c>
      <c r="D278" t="s">
        <v>17</v>
      </c>
      <c r="E278" t="s">
        <v>25</v>
      </c>
      <c r="F278" t="s">
        <v>29</v>
      </c>
      <c r="G278" t="s">
        <v>39</v>
      </c>
      <c r="H278" t="s">
        <v>34</v>
      </c>
      <c r="I278">
        <v>15</v>
      </c>
      <c r="J278" s="6">
        <v>1482.48</v>
      </c>
      <c r="K278" s="6">
        <v>22237.200000000001</v>
      </c>
      <c r="L278" t="s">
        <v>22</v>
      </c>
      <c r="M278" t="s">
        <v>22</v>
      </c>
      <c r="N278" s="3">
        <v>46203</v>
      </c>
      <c r="O278" s="6">
        <v>22237.200000000001</v>
      </c>
    </row>
    <row r="279" spans="1:15" x14ac:dyDescent="0.3">
      <c r="A279" t="s">
        <v>322</v>
      </c>
      <c r="B279" s="3">
        <v>45760</v>
      </c>
      <c r="C279" t="s">
        <v>294</v>
      </c>
      <c r="D279" t="s">
        <v>24</v>
      </c>
      <c r="E279" t="s">
        <v>25</v>
      </c>
      <c r="F279" t="s">
        <v>33</v>
      </c>
      <c r="G279" t="s">
        <v>39</v>
      </c>
      <c r="H279" t="s">
        <v>45</v>
      </c>
      <c r="I279">
        <v>11</v>
      </c>
      <c r="J279" s="6">
        <v>937.93</v>
      </c>
      <c r="K279" s="6">
        <v>10317.23</v>
      </c>
      <c r="L279" t="s">
        <v>30</v>
      </c>
      <c r="M279" t="s">
        <v>36</v>
      </c>
      <c r="N279" s="3">
        <v>46097</v>
      </c>
      <c r="O279" s="6">
        <v>10317.23</v>
      </c>
    </row>
    <row r="280" spans="1:15" x14ac:dyDescent="0.3">
      <c r="A280" t="s">
        <v>323</v>
      </c>
      <c r="B280" s="3">
        <v>45760</v>
      </c>
      <c r="C280" t="s">
        <v>294</v>
      </c>
      <c r="D280" t="s">
        <v>49</v>
      </c>
      <c r="E280" t="s">
        <v>25</v>
      </c>
      <c r="F280" t="s">
        <v>19</v>
      </c>
      <c r="G280" t="s">
        <v>39</v>
      </c>
      <c r="H280" t="s">
        <v>45</v>
      </c>
      <c r="I280">
        <v>15</v>
      </c>
      <c r="J280" s="6">
        <v>501.91</v>
      </c>
      <c r="K280" s="6">
        <v>7528.65</v>
      </c>
      <c r="L280" t="s">
        <v>22</v>
      </c>
      <c r="M280" t="s">
        <v>22</v>
      </c>
      <c r="N280" s="3">
        <v>46203</v>
      </c>
      <c r="O280" s="6">
        <v>7528.65</v>
      </c>
    </row>
    <row r="281" spans="1:15" x14ac:dyDescent="0.3">
      <c r="A281" t="s">
        <v>324</v>
      </c>
      <c r="B281" s="3">
        <v>45761</v>
      </c>
      <c r="C281" t="s">
        <v>294</v>
      </c>
      <c r="D281" t="s">
        <v>17</v>
      </c>
      <c r="E281" t="s">
        <v>28</v>
      </c>
      <c r="F281" t="s">
        <v>29</v>
      </c>
      <c r="G281" t="s">
        <v>39</v>
      </c>
      <c r="H281" t="s">
        <v>40</v>
      </c>
      <c r="I281">
        <v>11</v>
      </c>
      <c r="J281" s="6">
        <v>1355.29</v>
      </c>
      <c r="K281" s="6">
        <v>14908.19</v>
      </c>
      <c r="L281" t="s">
        <v>30</v>
      </c>
      <c r="M281" t="s">
        <v>80</v>
      </c>
      <c r="N281" s="3">
        <v>46098</v>
      </c>
      <c r="O281" s="6">
        <v>14908.19</v>
      </c>
    </row>
    <row r="282" spans="1:15" x14ac:dyDescent="0.3">
      <c r="A282" t="s">
        <v>325</v>
      </c>
      <c r="B282" s="3">
        <v>45761</v>
      </c>
      <c r="C282" t="s">
        <v>294</v>
      </c>
      <c r="D282" t="s">
        <v>24</v>
      </c>
      <c r="E282" t="s">
        <v>25</v>
      </c>
      <c r="F282" t="s">
        <v>38</v>
      </c>
      <c r="G282" t="s">
        <v>39</v>
      </c>
      <c r="H282" t="s">
        <v>40</v>
      </c>
      <c r="I282">
        <v>15</v>
      </c>
      <c r="J282" s="6">
        <v>811.41</v>
      </c>
      <c r="K282" s="6">
        <v>12171.15</v>
      </c>
      <c r="L282" t="s">
        <v>22</v>
      </c>
      <c r="M282" t="s">
        <v>22</v>
      </c>
      <c r="N282" s="3">
        <v>46203</v>
      </c>
      <c r="O282" s="6">
        <v>12171.15</v>
      </c>
    </row>
    <row r="283" spans="1:15" x14ac:dyDescent="0.3">
      <c r="A283" t="s">
        <v>326</v>
      </c>
      <c r="B283" s="3">
        <v>45761</v>
      </c>
      <c r="C283" t="s">
        <v>294</v>
      </c>
      <c r="D283" t="s">
        <v>24</v>
      </c>
      <c r="E283" t="s">
        <v>28</v>
      </c>
      <c r="F283" t="s">
        <v>19</v>
      </c>
      <c r="G283" t="s">
        <v>39</v>
      </c>
      <c r="H283" t="s">
        <v>34</v>
      </c>
      <c r="I283">
        <v>15</v>
      </c>
      <c r="J283" s="6">
        <v>927.69</v>
      </c>
      <c r="K283" s="6">
        <v>13915.35</v>
      </c>
      <c r="L283" t="s">
        <v>22</v>
      </c>
      <c r="M283" t="s">
        <v>22</v>
      </c>
      <c r="N283" s="3">
        <v>46203</v>
      </c>
      <c r="O283" s="6">
        <v>13915.35</v>
      </c>
    </row>
    <row r="284" spans="1:15" x14ac:dyDescent="0.3">
      <c r="A284" t="s">
        <v>327</v>
      </c>
      <c r="B284" s="3">
        <v>45761</v>
      </c>
      <c r="C284" t="s">
        <v>294</v>
      </c>
      <c r="D284" t="s">
        <v>49</v>
      </c>
      <c r="E284" t="s">
        <v>25</v>
      </c>
      <c r="F284" t="s">
        <v>19</v>
      </c>
      <c r="G284" t="s">
        <v>20</v>
      </c>
      <c r="H284" t="s">
        <v>40</v>
      </c>
      <c r="I284">
        <v>15</v>
      </c>
      <c r="J284" s="6">
        <v>464.34</v>
      </c>
      <c r="K284" s="6">
        <v>6965.1</v>
      </c>
      <c r="L284" t="s">
        <v>22</v>
      </c>
      <c r="M284" t="s">
        <v>22</v>
      </c>
      <c r="N284" s="3">
        <v>46203</v>
      </c>
      <c r="O284" s="6">
        <v>6965.1</v>
      </c>
    </row>
    <row r="285" spans="1:15" x14ac:dyDescent="0.3">
      <c r="A285" t="s">
        <v>328</v>
      </c>
      <c r="B285" s="3">
        <v>45762</v>
      </c>
      <c r="C285" t="s">
        <v>294</v>
      </c>
      <c r="D285" t="s">
        <v>49</v>
      </c>
      <c r="E285" t="s">
        <v>50</v>
      </c>
      <c r="F285" t="s">
        <v>38</v>
      </c>
      <c r="G285" t="s">
        <v>39</v>
      </c>
      <c r="H285" t="s">
        <v>34</v>
      </c>
      <c r="I285">
        <v>14</v>
      </c>
      <c r="J285" s="6">
        <v>514.16999999999996</v>
      </c>
      <c r="K285" s="6">
        <v>7198.38</v>
      </c>
      <c r="L285" t="s">
        <v>22</v>
      </c>
      <c r="M285" t="s">
        <v>22</v>
      </c>
      <c r="N285" s="3">
        <v>46203</v>
      </c>
      <c r="O285" s="6">
        <v>7198.38</v>
      </c>
    </row>
    <row r="286" spans="1:15" x14ac:dyDescent="0.3">
      <c r="A286" t="s">
        <v>329</v>
      </c>
      <c r="B286" s="3">
        <v>45763</v>
      </c>
      <c r="C286" t="s">
        <v>294</v>
      </c>
      <c r="D286" t="s">
        <v>17</v>
      </c>
      <c r="E286" t="s">
        <v>50</v>
      </c>
      <c r="F286" t="s">
        <v>19</v>
      </c>
      <c r="G286" t="s">
        <v>39</v>
      </c>
      <c r="H286" t="s">
        <v>45</v>
      </c>
      <c r="I286">
        <v>14</v>
      </c>
      <c r="J286" s="6">
        <v>1499.26</v>
      </c>
      <c r="K286" s="6">
        <v>20989.64</v>
      </c>
      <c r="L286" t="s">
        <v>22</v>
      </c>
      <c r="M286" t="s">
        <v>22</v>
      </c>
      <c r="N286" s="3">
        <v>46203</v>
      </c>
      <c r="O286" s="6">
        <v>20989.64</v>
      </c>
    </row>
    <row r="287" spans="1:15" x14ac:dyDescent="0.3">
      <c r="A287" t="s">
        <v>330</v>
      </c>
      <c r="B287" s="3">
        <v>45763</v>
      </c>
      <c r="C287" t="s">
        <v>294</v>
      </c>
      <c r="D287" t="s">
        <v>49</v>
      </c>
      <c r="E287" t="s">
        <v>25</v>
      </c>
      <c r="F287" t="s">
        <v>29</v>
      </c>
      <c r="G287" t="s">
        <v>39</v>
      </c>
      <c r="H287" t="s">
        <v>21</v>
      </c>
      <c r="I287">
        <v>14</v>
      </c>
      <c r="J287" s="6">
        <v>536.23</v>
      </c>
      <c r="K287" s="6">
        <v>7507.22</v>
      </c>
      <c r="L287" t="s">
        <v>22</v>
      </c>
      <c r="M287" t="s">
        <v>22</v>
      </c>
      <c r="N287" s="3">
        <v>46203</v>
      </c>
      <c r="O287" s="6">
        <v>7507.22</v>
      </c>
    </row>
    <row r="288" spans="1:15" x14ac:dyDescent="0.3">
      <c r="A288" t="s">
        <v>331</v>
      </c>
      <c r="B288" s="3">
        <v>45763</v>
      </c>
      <c r="C288" t="s">
        <v>294</v>
      </c>
      <c r="D288" t="s">
        <v>24</v>
      </c>
      <c r="E288" t="s">
        <v>25</v>
      </c>
      <c r="F288" t="s">
        <v>29</v>
      </c>
      <c r="G288" t="s">
        <v>39</v>
      </c>
      <c r="H288" t="s">
        <v>21</v>
      </c>
      <c r="I288">
        <v>14</v>
      </c>
      <c r="J288" s="6">
        <v>976.58</v>
      </c>
      <c r="K288" s="6">
        <v>13672.12</v>
      </c>
      <c r="L288" t="s">
        <v>30</v>
      </c>
      <c r="M288" t="s">
        <v>31</v>
      </c>
      <c r="N288" s="3">
        <v>46183</v>
      </c>
      <c r="O288" s="6">
        <v>13672.12</v>
      </c>
    </row>
    <row r="289" spans="1:15" x14ac:dyDescent="0.3">
      <c r="A289" t="s">
        <v>332</v>
      </c>
      <c r="B289" s="3">
        <v>45763</v>
      </c>
      <c r="C289" t="s">
        <v>294</v>
      </c>
      <c r="D289" t="s">
        <v>17</v>
      </c>
      <c r="E289" t="s">
        <v>28</v>
      </c>
      <c r="F289" t="s">
        <v>19</v>
      </c>
      <c r="G289" t="s">
        <v>39</v>
      </c>
      <c r="H289" t="s">
        <v>40</v>
      </c>
      <c r="I289">
        <v>14</v>
      </c>
      <c r="J289" s="6">
        <v>1520.57</v>
      </c>
      <c r="K289" s="6">
        <v>21287.98</v>
      </c>
      <c r="L289" t="s">
        <v>22</v>
      </c>
      <c r="M289" t="s">
        <v>22</v>
      </c>
      <c r="N289" s="3">
        <v>46203</v>
      </c>
      <c r="O289" s="6">
        <v>21287.98</v>
      </c>
    </row>
    <row r="290" spans="1:15" x14ac:dyDescent="0.3">
      <c r="A290" t="s">
        <v>333</v>
      </c>
      <c r="B290" s="3">
        <v>45763</v>
      </c>
      <c r="C290" t="s">
        <v>294</v>
      </c>
      <c r="D290" t="s">
        <v>49</v>
      </c>
      <c r="E290" t="s">
        <v>18</v>
      </c>
      <c r="F290" t="s">
        <v>51</v>
      </c>
      <c r="G290" t="s">
        <v>26</v>
      </c>
      <c r="H290" t="s">
        <v>45</v>
      </c>
      <c r="I290">
        <v>14</v>
      </c>
      <c r="J290" s="6">
        <v>512.33000000000004</v>
      </c>
      <c r="K290" s="6">
        <v>7172.62</v>
      </c>
      <c r="L290" t="s">
        <v>22</v>
      </c>
      <c r="M290" t="s">
        <v>22</v>
      </c>
      <c r="N290" s="3">
        <v>46203</v>
      </c>
      <c r="O290" s="6">
        <v>7172.62</v>
      </c>
    </row>
    <row r="291" spans="1:15" x14ac:dyDescent="0.3">
      <c r="A291" t="s">
        <v>334</v>
      </c>
      <c r="B291" s="3">
        <v>45763</v>
      </c>
      <c r="C291" t="s">
        <v>294</v>
      </c>
      <c r="D291" t="s">
        <v>17</v>
      </c>
      <c r="E291" t="s">
        <v>28</v>
      </c>
      <c r="F291" t="s">
        <v>19</v>
      </c>
      <c r="G291" t="s">
        <v>20</v>
      </c>
      <c r="H291" t="s">
        <v>45</v>
      </c>
      <c r="I291">
        <v>14</v>
      </c>
      <c r="J291" s="6">
        <v>1431.13</v>
      </c>
      <c r="K291" s="6">
        <v>20035.82</v>
      </c>
      <c r="L291" t="s">
        <v>22</v>
      </c>
      <c r="M291" t="s">
        <v>22</v>
      </c>
      <c r="N291" s="3">
        <v>46203</v>
      </c>
      <c r="O291" s="6">
        <v>20035.82</v>
      </c>
    </row>
    <row r="292" spans="1:15" x14ac:dyDescent="0.3">
      <c r="A292" t="s">
        <v>335</v>
      </c>
      <c r="B292" s="3">
        <v>45764</v>
      </c>
      <c r="C292" t="s">
        <v>294</v>
      </c>
      <c r="D292" t="s">
        <v>24</v>
      </c>
      <c r="E292" t="s">
        <v>28</v>
      </c>
      <c r="F292" t="s">
        <v>29</v>
      </c>
      <c r="G292" t="s">
        <v>20</v>
      </c>
      <c r="H292" t="s">
        <v>40</v>
      </c>
      <c r="I292">
        <v>14</v>
      </c>
      <c r="J292" s="6">
        <v>868.94</v>
      </c>
      <c r="K292" s="6">
        <v>12165.16</v>
      </c>
      <c r="L292" t="s">
        <v>22</v>
      </c>
      <c r="M292" t="s">
        <v>22</v>
      </c>
      <c r="N292" s="3">
        <v>46203</v>
      </c>
      <c r="O292" s="6">
        <v>12165.16</v>
      </c>
    </row>
    <row r="293" spans="1:15" x14ac:dyDescent="0.3">
      <c r="A293" t="s">
        <v>336</v>
      </c>
      <c r="B293" s="3">
        <v>45765</v>
      </c>
      <c r="C293" t="s">
        <v>294</v>
      </c>
      <c r="D293" t="s">
        <v>24</v>
      </c>
      <c r="E293" t="s">
        <v>25</v>
      </c>
      <c r="F293" t="s">
        <v>51</v>
      </c>
      <c r="G293" t="s">
        <v>39</v>
      </c>
      <c r="H293" t="s">
        <v>40</v>
      </c>
      <c r="I293">
        <v>14</v>
      </c>
      <c r="J293" s="6">
        <v>952.22</v>
      </c>
      <c r="K293" s="6">
        <v>13331.08</v>
      </c>
      <c r="L293" t="s">
        <v>22</v>
      </c>
      <c r="M293" t="s">
        <v>22</v>
      </c>
      <c r="N293" s="3">
        <v>46203</v>
      </c>
      <c r="O293" s="6">
        <v>13331.08</v>
      </c>
    </row>
    <row r="294" spans="1:15" x14ac:dyDescent="0.3">
      <c r="A294" t="s">
        <v>337</v>
      </c>
      <c r="B294" s="3">
        <v>45765</v>
      </c>
      <c r="C294" t="s">
        <v>294</v>
      </c>
      <c r="D294" t="s">
        <v>49</v>
      </c>
      <c r="E294" t="s">
        <v>25</v>
      </c>
      <c r="F294" t="s">
        <v>38</v>
      </c>
      <c r="G294" t="s">
        <v>39</v>
      </c>
      <c r="H294" t="s">
        <v>21</v>
      </c>
      <c r="I294">
        <v>14</v>
      </c>
      <c r="J294" s="6">
        <v>485.07</v>
      </c>
      <c r="K294" s="6">
        <v>6790.98</v>
      </c>
      <c r="L294" t="s">
        <v>22</v>
      </c>
      <c r="M294" t="s">
        <v>22</v>
      </c>
      <c r="N294" s="3">
        <v>46203</v>
      </c>
      <c r="O294" s="6">
        <v>6790.98</v>
      </c>
    </row>
    <row r="295" spans="1:15" x14ac:dyDescent="0.3">
      <c r="A295" t="s">
        <v>338</v>
      </c>
      <c r="B295" s="3">
        <v>45765</v>
      </c>
      <c r="C295" t="s">
        <v>294</v>
      </c>
      <c r="D295" t="s">
        <v>49</v>
      </c>
      <c r="E295" t="s">
        <v>28</v>
      </c>
      <c r="F295" t="s">
        <v>29</v>
      </c>
      <c r="G295" t="s">
        <v>26</v>
      </c>
      <c r="H295" t="s">
        <v>40</v>
      </c>
      <c r="I295">
        <v>14</v>
      </c>
      <c r="J295" s="6">
        <v>529.07000000000005</v>
      </c>
      <c r="K295" s="6">
        <v>7406.98</v>
      </c>
      <c r="L295" t="s">
        <v>22</v>
      </c>
      <c r="M295" t="s">
        <v>22</v>
      </c>
      <c r="N295" s="3">
        <v>46203</v>
      </c>
      <c r="O295" s="6">
        <v>7406.98</v>
      </c>
    </row>
    <row r="296" spans="1:15" x14ac:dyDescent="0.3">
      <c r="A296" t="s">
        <v>339</v>
      </c>
      <c r="B296" s="3">
        <v>45766</v>
      </c>
      <c r="C296" t="s">
        <v>294</v>
      </c>
      <c r="D296" t="s">
        <v>24</v>
      </c>
      <c r="E296" t="s">
        <v>18</v>
      </c>
      <c r="F296" t="s">
        <v>33</v>
      </c>
      <c r="G296" t="s">
        <v>20</v>
      </c>
      <c r="H296" t="s">
        <v>21</v>
      </c>
      <c r="I296">
        <v>14</v>
      </c>
      <c r="J296" s="6">
        <v>843.36</v>
      </c>
      <c r="K296" s="6">
        <v>11807.04</v>
      </c>
      <c r="L296" t="s">
        <v>22</v>
      </c>
      <c r="M296" t="s">
        <v>22</v>
      </c>
      <c r="N296" s="3">
        <v>46203</v>
      </c>
      <c r="O296" s="6">
        <v>11807.04</v>
      </c>
    </row>
    <row r="297" spans="1:15" x14ac:dyDescent="0.3">
      <c r="A297" t="s">
        <v>340</v>
      </c>
      <c r="B297" s="3">
        <v>45766</v>
      </c>
      <c r="C297" t="s">
        <v>294</v>
      </c>
      <c r="D297" t="s">
        <v>49</v>
      </c>
      <c r="E297" t="s">
        <v>28</v>
      </c>
      <c r="F297" t="s">
        <v>33</v>
      </c>
      <c r="G297" t="s">
        <v>20</v>
      </c>
      <c r="H297" t="s">
        <v>45</v>
      </c>
      <c r="I297">
        <v>14</v>
      </c>
      <c r="J297" s="6">
        <v>535.80999999999995</v>
      </c>
      <c r="K297" s="6">
        <v>7501.34</v>
      </c>
      <c r="L297" t="s">
        <v>22</v>
      </c>
      <c r="M297" t="s">
        <v>22</v>
      </c>
      <c r="N297" s="3">
        <v>46203</v>
      </c>
      <c r="O297" s="6">
        <v>7501.34</v>
      </c>
    </row>
    <row r="298" spans="1:15" x14ac:dyDescent="0.3">
      <c r="A298" t="s">
        <v>341</v>
      </c>
      <c r="B298" s="3">
        <v>45767</v>
      </c>
      <c r="C298" t="s">
        <v>294</v>
      </c>
      <c r="D298" t="s">
        <v>49</v>
      </c>
      <c r="E298" t="s">
        <v>25</v>
      </c>
      <c r="F298" t="s">
        <v>33</v>
      </c>
      <c r="G298" t="s">
        <v>39</v>
      </c>
      <c r="H298" t="s">
        <v>45</v>
      </c>
      <c r="I298">
        <v>14</v>
      </c>
      <c r="J298" s="6">
        <v>523.41999999999996</v>
      </c>
      <c r="K298" s="6">
        <v>7327.88</v>
      </c>
      <c r="L298" t="s">
        <v>22</v>
      </c>
      <c r="M298" t="s">
        <v>22</v>
      </c>
      <c r="N298" s="3">
        <v>46203</v>
      </c>
      <c r="O298" s="6">
        <v>7327.88</v>
      </c>
    </row>
    <row r="299" spans="1:15" x14ac:dyDescent="0.3">
      <c r="A299" t="s">
        <v>342</v>
      </c>
      <c r="B299" s="3">
        <v>45767</v>
      </c>
      <c r="C299" t="s">
        <v>294</v>
      </c>
      <c r="D299" t="s">
        <v>49</v>
      </c>
      <c r="E299" t="s">
        <v>18</v>
      </c>
      <c r="F299" t="s">
        <v>38</v>
      </c>
      <c r="G299" t="s">
        <v>39</v>
      </c>
      <c r="H299" t="s">
        <v>34</v>
      </c>
      <c r="I299">
        <v>14</v>
      </c>
      <c r="J299" s="6">
        <v>488.52</v>
      </c>
      <c r="K299" s="6">
        <v>6839.28</v>
      </c>
      <c r="L299" t="s">
        <v>30</v>
      </c>
      <c r="M299" t="s">
        <v>43</v>
      </c>
      <c r="N299" s="3">
        <v>46199</v>
      </c>
      <c r="O299" s="6">
        <v>6839.28</v>
      </c>
    </row>
    <row r="300" spans="1:15" x14ac:dyDescent="0.3">
      <c r="A300" t="s">
        <v>343</v>
      </c>
      <c r="B300" s="3">
        <v>45767</v>
      </c>
      <c r="C300" t="s">
        <v>294</v>
      </c>
      <c r="D300" t="s">
        <v>17</v>
      </c>
      <c r="E300" t="s">
        <v>28</v>
      </c>
      <c r="F300" t="s">
        <v>38</v>
      </c>
      <c r="G300" t="s">
        <v>39</v>
      </c>
      <c r="H300" t="s">
        <v>34</v>
      </c>
      <c r="I300">
        <v>14</v>
      </c>
      <c r="J300" s="6">
        <v>1356.2</v>
      </c>
      <c r="K300" s="6">
        <v>18986.8</v>
      </c>
      <c r="L300" t="s">
        <v>22</v>
      </c>
      <c r="M300" t="s">
        <v>22</v>
      </c>
      <c r="N300" s="3">
        <v>46203</v>
      </c>
      <c r="O300" s="6">
        <v>18986.8</v>
      </c>
    </row>
    <row r="301" spans="1:15" x14ac:dyDescent="0.3">
      <c r="A301" t="s">
        <v>344</v>
      </c>
      <c r="B301" s="3">
        <v>45767</v>
      </c>
      <c r="C301" t="s">
        <v>294</v>
      </c>
      <c r="D301" t="s">
        <v>17</v>
      </c>
      <c r="E301" t="s">
        <v>28</v>
      </c>
      <c r="F301" t="s">
        <v>29</v>
      </c>
      <c r="G301" t="s">
        <v>39</v>
      </c>
      <c r="H301" t="s">
        <v>21</v>
      </c>
      <c r="I301">
        <v>14</v>
      </c>
      <c r="J301" s="6">
        <v>1527.28</v>
      </c>
      <c r="K301" s="6">
        <v>21381.919999999998</v>
      </c>
      <c r="L301" t="s">
        <v>22</v>
      </c>
      <c r="M301" t="s">
        <v>22</v>
      </c>
      <c r="N301" s="3">
        <v>46203</v>
      </c>
      <c r="O301" s="6">
        <v>21381.919999999998</v>
      </c>
    </row>
    <row r="302" spans="1:15" x14ac:dyDescent="0.3">
      <c r="A302" t="s">
        <v>345</v>
      </c>
      <c r="B302" s="3">
        <v>45767</v>
      </c>
      <c r="C302" t="s">
        <v>294</v>
      </c>
      <c r="D302" t="s">
        <v>17</v>
      </c>
      <c r="E302" t="s">
        <v>28</v>
      </c>
      <c r="F302" t="s">
        <v>29</v>
      </c>
      <c r="G302" t="s">
        <v>26</v>
      </c>
      <c r="H302" t="s">
        <v>40</v>
      </c>
      <c r="I302">
        <v>14</v>
      </c>
      <c r="J302" s="6">
        <v>1469.48</v>
      </c>
      <c r="K302" s="6">
        <v>20572.72</v>
      </c>
      <c r="L302" t="s">
        <v>22</v>
      </c>
      <c r="M302" t="s">
        <v>22</v>
      </c>
      <c r="N302" s="3">
        <v>46203</v>
      </c>
      <c r="O302" s="6">
        <v>20572.72</v>
      </c>
    </row>
    <row r="303" spans="1:15" x14ac:dyDescent="0.3">
      <c r="A303" t="s">
        <v>346</v>
      </c>
      <c r="B303" s="3">
        <v>45768</v>
      </c>
      <c r="C303" t="s">
        <v>294</v>
      </c>
      <c r="D303" t="s">
        <v>24</v>
      </c>
      <c r="E303" t="s">
        <v>28</v>
      </c>
      <c r="F303" t="s">
        <v>19</v>
      </c>
      <c r="G303" t="s">
        <v>39</v>
      </c>
      <c r="H303" t="s">
        <v>34</v>
      </c>
      <c r="I303">
        <v>14</v>
      </c>
      <c r="J303" s="6">
        <v>969.49</v>
      </c>
      <c r="K303" s="6">
        <v>13572.86</v>
      </c>
      <c r="L303" t="s">
        <v>22</v>
      </c>
      <c r="M303" t="s">
        <v>22</v>
      </c>
      <c r="N303" s="3">
        <v>46203</v>
      </c>
      <c r="O303" s="6">
        <v>13572.86</v>
      </c>
    </row>
    <row r="304" spans="1:15" x14ac:dyDescent="0.3">
      <c r="A304" t="s">
        <v>347</v>
      </c>
      <c r="B304" s="3">
        <v>45768</v>
      </c>
      <c r="C304" t="s">
        <v>294</v>
      </c>
      <c r="D304" t="s">
        <v>24</v>
      </c>
      <c r="E304" t="s">
        <v>18</v>
      </c>
      <c r="F304" t="s">
        <v>29</v>
      </c>
      <c r="G304" t="s">
        <v>20</v>
      </c>
      <c r="H304" t="s">
        <v>40</v>
      </c>
      <c r="I304">
        <v>14</v>
      </c>
      <c r="J304" s="6">
        <v>898.92</v>
      </c>
      <c r="K304" s="6">
        <v>12584.88</v>
      </c>
      <c r="L304" t="s">
        <v>22</v>
      </c>
      <c r="M304" t="s">
        <v>22</v>
      </c>
      <c r="N304" s="3">
        <v>46203</v>
      </c>
      <c r="O304" s="6">
        <v>12584.88</v>
      </c>
    </row>
    <row r="305" spans="1:15" x14ac:dyDescent="0.3">
      <c r="A305" t="s">
        <v>348</v>
      </c>
      <c r="B305" s="3">
        <v>45768</v>
      </c>
      <c r="C305" t="s">
        <v>294</v>
      </c>
      <c r="D305" t="s">
        <v>24</v>
      </c>
      <c r="E305" t="s">
        <v>25</v>
      </c>
      <c r="F305" t="s">
        <v>29</v>
      </c>
      <c r="G305" t="s">
        <v>20</v>
      </c>
      <c r="H305" t="s">
        <v>21</v>
      </c>
      <c r="I305">
        <v>14</v>
      </c>
      <c r="J305" s="6">
        <v>935.91</v>
      </c>
      <c r="K305" s="6">
        <v>13102.74</v>
      </c>
      <c r="L305" t="s">
        <v>22</v>
      </c>
      <c r="M305" t="s">
        <v>22</v>
      </c>
      <c r="N305" s="3">
        <v>46203</v>
      </c>
      <c r="O305" s="6">
        <v>13102.74</v>
      </c>
    </row>
    <row r="306" spans="1:15" x14ac:dyDescent="0.3">
      <c r="A306" t="s">
        <v>349</v>
      </c>
      <c r="B306" s="3">
        <v>45768</v>
      </c>
      <c r="C306" t="s">
        <v>294</v>
      </c>
      <c r="D306" t="s">
        <v>49</v>
      </c>
      <c r="E306" t="s">
        <v>28</v>
      </c>
      <c r="F306" t="s">
        <v>29</v>
      </c>
      <c r="G306" t="s">
        <v>39</v>
      </c>
      <c r="H306" t="s">
        <v>21</v>
      </c>
      <c r="I306">
        <v>10</v>
      </c>
      <c r="J306" s="6">
        <v>515.84</v>
      </c>
      <c r="K306" s="6">
        <v>5158.3999999999996</v>
      </c>
      <c r="L306" t="s">
        <v>30</v>
      </c>
      <c r="M306" t="s">
        <v>36</v>
      </c>
      <c r="N306" s="3">
        <v>46075</v>
      </c>
      <c r="O306" s="6">
        <v>5158.3999999999996</v>
      </c>
    </row>
    <row r="307" spans="1:15" x14ac:dyDescent="0.3">
      <c r="A307" t="s">
        <v>350</v>
      </c>
      <c r="B307" s="3">
        <v>45769</v>
      </c>
      <c r="C307" t="s">
        <v>294</v>
      </c>
      <c r="D307" t="s">
        <v>24</v>
      </c>
      <c r="E307" t="s">
        <v>18</v>
      </c>
      <c r="F307" t="s">
        <v>19</v>
      </c>
      <c r="G307" t="s">
        <v>26</v>
      </c>
      <c r="H307" t="s">
        <v>40</v>
      </c>
      <c r="I307">
        <v>14</v>
      </c>
      <c r="J307" s="6">
        <v>860.28</v>
      </c>
      <c r="K307" s="6">
        <v>12043.92</v>
      </c>
      <c r="L307" t="s">
        <v>22</v>
      </c>
      <c r="M307" t="s">
        <v>22</v>
      </c>
      <c r="N307" s="3">
        <v>46203</v>
      </c>
      <c r="O307" s="6">
        <v>12043.92</v>
      </c>
    </row>
    <row r="308" spans="1:15" x14ac:dyDescent="0.3">
      <c r="A308" t="s">
        <v>351</v>
      </c>
      <c r="B308" s="3">
        <v>45769</v>
      </c>
      <c r="C308" t="s">
        <v>294</v>
      </c>
      <c r="D308" t="s">
        <v>49</v>
      </c>
      <c r="E308" t="s">
        <v>25</v>
      </c>
      <c r="F308" t="s">
        <v>38</v>
      </c>
      <c r="G308" t="s">
        <v>20</v>
      </c>
      <c r="H308" t="s">
        <v>21</v>
      </c>
      <c r="I308">
        <v>14</v>
      </c>
      <c r="J308" s="6">
        <v>537.08000000000004</v>
      </c>
      <c r="K308" s="6">
        <v>7519.12</v>
      </c>
      <c r="L308" t="s">
        <v>22</v>
      </c>
      <c r="M308" t="s">
        <v>22</v>
      </c>
      <c r="N308" s="3">
        <v>46203</v>
      </c>
      <c r="O308" s="6">
        <v>7519.12</v>
      </c>
    </row>
    <row r="309" spans="1:15" x14ac:dyDescent="0.3">
      <c r="A309" t="s">
        <v>352</v>
      </c>
      <c r="B309" s="3">
        <v>45770</v>
      </c>
      <c r="C309" t="s">
        <v>294</v>
      </c>
      <c r="D309" t="s">
        <v>24</v>
      </c>
      <c r="E309" t="s">
        <v>28</v>
      </c>
      <c r="F309" t="s">
        <v>19</v>
      </c>
      <c r="G309" t="s">
        <v>20</v>
      </c>
      <c r="H309" t="s">
        <v>21</v>
      </c>
      <c r="I309">
        <v>14</v>
      </c>
      <c r="J309" s="6">
        <v>973.45</v>
      </c>
      <c r="K309" s="6">
        <v>13628.3</v>
      </c>
      <c r="L309" t="s">
        <v>22</v>
      </c>
      <c r="M309" t="s">
        <v>22</v>
      </c>
      <c r="N309" s="3">
        <v>46203</v>
      </c>
      <c r="O309" s="6">
        <v>13628.3</v>
      </c>
    </row>
    <row r="310" spans="1:15" x14ac:dyDescent="0.3">
      <c r="A310" t="s">
        <v>353</v>
      </c>
      <c r="B310" s="3">
        <v>45771</v>
      </c>
      <c r="C310" t="s">
        <v>294</v>
      </c>
      <c r="D310" t="s">
        <v>24</v>
      </c>
      <c r="E310" t="s">
        <v>28</v>
      </c>
      <c r="F310" t="s">
        <v>29</v>
      </c>
      <c r="G310" t="s">
        <v>39</v>
      </c>
      <c r="H310" t="s">
        <v>34</v>
      </c>
      <c r="I310">
        <v>5</v>
      </c>
      <c r="J310" s="6">
        <v>868.95</v>
      </c>
      <c r="K310" s="6">
        <v>4344.75</v>
      </c>
      <c r="L310" t="s">
        <v>30</v>
      </c>
      <c r="M310" t="s">
        <v>31</v>
      </c>
      <c r="N310" s="3">
        <v>45930</v>
      </c>
      <c r="O310" s="6">
        <v>4344.75</v>
      </c>
    </row>
    <row r="311" spans="1:15" x14ac:dyDescent="0.3">
      <c r="A311" t="s">
        <v>354</v>
      </c>
      <c r="B311" s="3">
        <v>45771</v>
      </c>
      <c r="C311" t="s">
        <v>294</v>
      </c>
      <c r="D311" t="s">
        <v>49</v>
      </c>
      <c r="E311" t="s">
        <v>28</v>
      </c>
      <c r="F311" t="s">
        <v>33</v>
      </c>
      <c r="G311" t="s">
        <v>26</v>
      </c>
      <c r="H311" t="s">
        <v>40</v>
      </c>
      <c r="I311">
        <v>14</v>
      </c>
      <c r="J311" s="6">
        <v>536.03</v>
      </c>
      <c r="K311" s="6">
        <v>7504.42</v>
      </c>
      <c r="L311" t="s">
        <v>22</v>
      </c>
      <c r="M311" t="s">
        <v>22</v>
      </c>
      <c r="N311" s="3">
        <v>46203</v>
      </c>
      <c r="O311" s="6">
        <v>7504.42</v>
      </c>
    </row>
    <row r="312" spans="1:15" x14ac:dyDescent="0.3">
      <c r="A312" t="s">
        <v>355</v>
      </c>
      <c r="B312" s="3">
        <v>45771</v>
      </c>
      <c r="C312" t="s">
        <v>294</v>
      </c>
      <c r="D312" t="s">
        <v>24</v>
      </c>
      <c r="E312" t="s">
        <v>25</v>
      </c>
      <c r="F312" t="s">
        <v>29</v>
      </c>
      <c r="G312" t="s">
        <v>39</v>
      </c>
      <c r="H312" t="s">
        <v>34</v>
      </c>
      <c r="I312">
        <v>14</v>
      </c>
      <c r="J312" s="6">
        <v>820.09</v>
      </c>
      <c r="K312" s="6">
        <v>11481.26</v>
      </c>
      <c r="L312" t="s">
        <v>22</v>
      </c>
      <c r="M312" t="s">
        <v>22</v>
      </c>
      <c r="N312" s="3">
        <v>46203</v>
      </c>
      <c r="O312" s="6">
        <v>11481.26</v>
      </c>
    </row>
    <row r="313" spans="1:15" x14ac:dyDescent="0.3">
      <c r="A313" t="s">
        <v>356</v>
      </c>
      <c r="B313" s="3">
        <v>45772</v>
      </c>
      <c r="C313" t="s">
        <v>294</v>
      </c>
      <c r="D313" t="s">
        <v>17</v>
      </c>
      <c r="E313" t="s">
        <v>28</v>
      </c>
      <c r="F313" t="s">
        <v>38</v>
      </c>
      <c r="G313" t="s">
        <v>39</v>
      </c>
      <c r="H313" t="s">
        <v>21</v>
      </c>
      <c r="I313">
        <v>14</v>
      </c>
      <c r="J313" s="6">
        <v>1533.85</v>
      </c>
      <c r="K313" s="6">
        <v>21473.9</v>
      </c>
      <c r="L313" t="s">
        <v>22</v>
      </c>
      <c r="M313" t="s">
        <v>22</v>
      </c>
      <c r="N313" s="3">
        <v>46203</v>
      </c>
      <c r="O313" s="6">
        <v>21473.9</v>
      </c>
    </row>
    <row r="314" spans="1:15" x14ac:dyDescent="0.3">
      <c r="A314" t="s">
        <v>357</v>
      </c>
      <c r="B314" s="3">
        <v>45772</v>
      </c>
      <c r="C314" t="s">
        <v>294</v>
      </c>
      <c r="D314" t="s">
        <v>49</v>
      </c>
      <c r="E314" t="s">
        <v>28</v>
      </c>
      <c r="F314" t="s">
        <v>29</v>
      </c>
      <c r="G314" t="s">
        <v>39</v>
      </c>
      <c r="H314" t="s">
        <v>45</v>
      </c>
      <c r="I314">
        <v>14</v>
      </c>
      <c r="J314" s="6">
        <v>478.5</v>
      </c>
      <c r="K314" s="6">
        <v>6699</v>
      </c>
      <c r="L314" t="s">
        <v>22</v>
      </c>
      <c r="M314" t="s">
        <v>22</v>
      </c>
      <c r="N314" s="3">
        <v>46203</v>
      </c>
      <c r="O314" s="6">
        <v>6699</v>
      </c>
    </row>
    <row r="315" spans="1:15" x14ac:dyDescent="0.3">
      <c r="A315" t="s">
        <v>358</v>
      </c>
      <c r="B315" s="3">
        <v>45772</v>
      </c>
      <c r="C315" t="s">
        <v>294</v>
      </c>
      <c r="D315" t="s">
        <v>24</v>
      </c>
      <c r="E315" t="s">
        <v>25</v>
      </c>
      <c r="F315" t="s">
        <v>29</v>
      </c>
      <c r="G315" t="s">
        <v>39</v>
      </c>
      <c r="H315" t="s">
        <v>40</v>
      </c>
      <c r="I315">
        <v>14</v>
      </c>
      <c r="J315" s="6">
        <v>819.36</v>
      </c>
      <c r="K315" s="6">
        <v>11471.04</v>
      </c>
      <c r="L315" t="s">
        <v>22</v>
      </c>
      <c r="M315" t="s">
        <v>22</v>
      </c>
      <c r="N315" s="3">
        <v>46203</v>
      </c>
      <c r="O315" s="6">
        <v>11471.04</v>
      </c>
    </row>
    <row r="316" spans="1:15" x14ac:dyDescent="0.3">
      <c r="A316" t="s">
        <v>359</v>
      </c>
      <c r="B316" s="3">
        <v>45772</v>
      </c>
      <c r="C316" t="s">
        <v>294</v>
      </c>
      <c r="D316" t="s">
        <v>49</v>
      </c>
      <c r="E316" t="s">
        <v>28</v>
      </c>
      <c r="F316" t="s">
        <v>38</v>
      </c>
      <c r="G316" t="s">
        <v>39</v>
      </c>
      <c r="H316" t="s">
        <v>21</v>
      </c>
      <c r="I316">
        <v>2</v>
      </c>
      <c r="J316" s="6">
        <v>545.26</v>
      </c>
      <c r="K316" s="6">
        <v>1090.52</v>
      </c>
      <c r="L316" t="s">
        <v>30</v>
      </c>
      <c r="M316" t="s">
        <v>31</v>
      </c>
      <c r="N316" s="3">
        <v>45821</v>
      </c>
      <c r="O316" s="6">
        <v>1090.52</v>
      </c>
    </row>
    <row r="317" spans="1:15" x14ac:dyDescent="0.3">
      <c r="A317" t="s">
        <v>360</v>
      </c>
      <c r="B317" s="3">
        <v>45773</v>
      </c>
      <c r="C317" t="s">
        <v>294</v>
      </c>
      <c r="D317" t="s">
        <v>49</v>
      </c>
      <c r="E317" t="s">
        <v>28</v>
      </c>
      <c r="F317" t="s">
        <v>29</v>
      </c>
      <c r="G317" t="s">
        <v>20</v>
      </c>
      <c r="H317" t="s">
        <v>21</v>
      </c>
      <c r="I317">
        <v>10</v>
      </c>
      <c r="J317" s="6">
        <v>522.54999999999995</v>
      </c>
      <c r="K317" s="6">
        <v>5225.5</v>
      </c>
      <c r="L317" t="s">
        <v>30</v>
      </c>
      <c r="M317" t="s">
        <v>80</v>
      </c>
      <c r="N317" s="3">
        <v>46090</v>
      </c>
      <c r="O317" s="6">
        <v>5225.5</v>
      </c>
    </row>
    <row r="318" spans="1:15" x14ac:dyDescent="0.3">
      <c r="A318" t="s">
        <v>361</v>
      </c>
      <c r="B318" s="3">
        <v>45773</v>
      </c>
      <c r="C318" t="s">
        <v>294</v>
      </c>
      <c r="D318" t="s">
        <v>24</v>
      </c>
      <c r="E318" t="s">
        <v>25</v>
      </c>
      <c r="F318" t="s">
        <v>19</v>
      </c>
      <c r="G318" t="s">
        <v>39</v>
      </c>
      <c r="H318" t="s">
        <v>21</v>
      </c>
      <c r="I318">
        <v>14</v>
      </c>
      <c r="J318" s="6">
        <v>859.24</v>
      </c>
      <c r="K318" s="6">
        <v>12029.36</v>
      </c>
      <c r="L318" t="s">
        <v>22</v>
      </c>
      <c r="M318" t="s">
        <v>22</v>
      </c>
      <c r="N318" s="3">
        <v>46203</v>
      </c>
      <c r="O318" s="6">
        <v>12029.36</v>
      </c>
    </row>
    <row r="319" spans="1:15" x14ac:dyDescent="0.3">
      <c r="A319" t="s">
        <v>362</v>
      </c>
      <c r="B319" s="3">
        <v>45773</v>
      </c>
      <c r="C319" t="s">
        <v>294</v>
      </c>
      <c r="D319" t="s">
        <v>24</v>
      </c>
      <c r="E319" t="s">
        <v>28</v>
      </c>
      <c r="F319" t="s">
        <v>29</v>
      </c>
      <c r="G319" t="s">
        <v>26</v>
      </c>
      <c r="H319" t="s">
        <v>40</v>
      </c>
      <c r="I319">
        <v>14</v>
      </c>
      <c r="J319" s="6">
        <v>820.35</v>
      </c>
      <c r="K319" s="6">
        <v>11484.9</v>
      </c>
      <c r="L319" t="s">
        <v>22</v>
      </c>
      <c r="M319" t="s">
        <v>22</v>
      </c>
      <c r="N319" s="3">
        <v>46203</v>
      </c>
      <c r="O319" s="6">
        <v>11484.9</v>
      </c>
    </row>
    <row r="320" spans="1:15" x14ac:dyDescent="0.3">
      <c r="A320" t="s">
        <v>363</v>
      </c>
      <c r="B320" s="3">
        <v>45773</v>
      </c>
      <c r="C320" t="s">
        <v>294</v>
      </c>
      <c r="D320" t="s">
        <v>24</v>
      </c>
      <c r="E320" t="s">
        <v>18</v>
      </c>
      <c r="F320" t="s">
        <v>38</v>
      </c>
      <c r="G320" t="s">
        <v>39</v>
      </c>
      <c r="H320" t="s">
        <v>21</v>
      </c>
      <c r="I320">
        <v>2</v>
      </c>
      <c r="J320" s="6">
        <v>927.6</v>
      </c>
      <c r="K320" s="6">
        <v>1855.2</v>
      </c>
      <c r="L320" t="s">
        <v>30</v>
      </c>
      <c r="M320" t="s">
        <v>31</v>
      </c>
      <c r="N320" s="3">
        <v>45831</v>
      </c>
      <c r="O320" s="6">
        <v>1855.2</v>
      </c>
    </row>
    <row r="321" spans="1:15" x14ac:dyDescent="0.3">
      <c r="A321" t="s">
        <v>364</v>
      </c>
      <c r="B321" s="3">
        <v>45773</v>
      </c>
      <c r="C321" t="s">
        <v>294</v>
      </c>
      <c r="D321" t="s">
        <v>24</v>
      </c>
      <c r="E321" t="s">
        <v>25</v>
      </c>
      <c r="F321" t="s">
        <v>19</v>
      </c>
      <c r="G321" t="s">
        <v>39</v>
      </c>
      <c r="H321" t="s">
        <v>21</v>
      </c>
      <c r="I321">
        <v>10</v>
      </c>
      <c r="J321" s="6">
        <v>937.75</v>
      </c>
      <c r="K321" s="6">
        <v>9377.5</v>
      </c>
      <c r="L321" t="s">
        <v>30</v>
      </c>
      <c r="M321" t="s">
        <v>80</v>
      </c>
      <c r="N321" s="3">
        <v>46087</v>
      </c>
      <c r="O321" s="6">
        <v>9377.5</v>
      </c>
    </row>
    <row r="322" spans="1:15" x14ac:dyDescent="0.3">
      <c r="A322" t="s">
        <v>365</v>
      </c>
      <c r="B322" s="3">
        <v>45773</v>
      </c>
      <c r="C322" t="s">
        <v>294</v>
      </c>
      <c r="D322" t="s">
        <v>17</v>
      </c>
      <c r="E322" t="s">
        <v>28</v>
      </c>
      <c r="F322" t="s">
        <v>29</v>
      </c>
      <c r="G322" t="s">
        <v>39</v>
      </c>
      <c r="H322" t="s">
        <v>21</v>
      </c>
      <c r="I322">
        <v>14</v>
      </c>
      <c r="J322" s="6">
        <v>1502.78</v>
      </c>
      <c r="K322" s="6">
        <v>21038.92</v>
      </c>
      <c r="L322" t="s">
        <v>22</v>
      </c>
      <c r="M322" t="s">
        <v>22</v>
      </c>
      <c r="N322" s="3">
        <v>46203</v>
      </c>
      <c r="O322" s="6">
        <v>21038.92</v>
      </c>
    </row>
    <row r="323" spans="1:15" x14ac:dyDescent="0.3">
      <c r="A323" t="s">
        <v>366</v>
      </c>
      <c r="B323" s="3">
        <v>45774</v>
      </c>
      <c r="C323" t="s">
        <v>294</v>
      </c>
      <c r="D323" t="s">
        <v>49</v>
      </c>
      <c r="E323" t="s">
        <v>18</v>
      </c>
      <c r="F323" t="s">
        <v>33</v>
      </c>
      <c r="G323" t="s">
        <v>20</v>
      </c>
      <c r="H323" t="s">
        <v>21</v>
      </c>
      <c r="I323">
        <v>14</v>
      </c>
      <c r="J323" s="6">
        <v>462.91</v>
      </c>
      <c r="K323" s="6">
        <v>6480.74</v>
      </c>
      <c r="L323" t="s">
        <v>22</v>
      </c>
      <c r="M323" t="s">
        <v>22</v>
      </c>
      <c r="N323" s="3">
        <v>46203</v>
      </c>
      <c r="O323" s="6">
        <v>6480.74</v>
      </c>
    </row>
    <row r="324" spans="1:15" x14ac:dyDescent="0.3">
      <c r="A324" t="s">
        <v>367</v>
      </c>
      <c r="B324" s="3">
        <v>45774</v>
      </c>
      <c r="C324" t="s">
        <v>294</v>
      </c>
      <c r="D324" t="s">
        <v>24</v>
      </c>
      <c r="E324" t="s">
        <v>28</v>
      </c>
      <c r="F324" t="s">
        <v>29</v>
      </c>
      <c r="G324" t="s">
        <v>20</v>
      </c>
      <c r="H324" t="s">
        <v>40</v>
      </c>
      <c r="I324">
        <v>14</v>
      </c>
      <c r="J324" s="6">
        <v>959.89</v>
      </c>
      <c r="K324" s="6">
        <v>13438.46</v>
      </c>
      <c r="L324" t="s">
        <v>30</v>
      </c>
      <c r="M324" t="s">
        <v>36</v>
      </c>
      <c r="N324" s="3">
        <v>46202</v>
      </c>
      <c r="O324" s="6">
        <v>13438.46</v>
      </c>
    </row>
    <row r="325" spans="1:15" x14ac:dyDescent="0.3">
      <c r="A325" t="s">
        <v>368</v>
      </c>
      <c r="B325" s="3">
        <v>45774</v>
      </c>
      <c r="C325" t="s">
        <v>294</v>
      </c>
      <c r="D325" t="s">
        <v>49</v>
      </c>
      <c r="E325" t="s">
        <v>18</v>
      </c>
      <c r="F325" t="s">
        <v>38</v>
      </c>
      <c r="G325" t="s">
        <v>39</v>
      </c>
      <c r="H325" t="s">
        <v>21</v>
      </c>
      <c r="I325">
        <v>14</v>
      </c>
      <c r="J325" s="6">
        <v>471.58</v>
      </c>
      <c r="K325" s="6">
        <v>6602.12</v>
      </c>
      <c r="L325" t="s">
        <v>22</v>
      </c>
      <c r="M325" t="s">
        <v>22</v>
      </c>
      <c r="N325" s="3">
        <v>46203</v>
      </c>
      <c r="O325" s="6">
        <v>6602.12</v>
      </c>
    </row>
    <row r="326" spans="1:15" x14ac:dyDescent="0.3">
      <c r="A326" t="s">
        <v>369</v>
      </c>
      <c r="B326" s="3">
        <v>45775</v>
      </c>
      <c r="C326" t="s">
        <v>294</v>
      </c>
      <c r="D326" t="s">
        <v>49</v>
      </c>
      <c r="E326" t="s">
        <v>50</v>
      </c>
      <c r="F326" t="s">
        <v>29</v>
      </c>
      <c r="G326" t="s">
        <v>20</v>
      </c>
      <c r="H326" t="s">
        <v>34</v>
      </c>
      <c r="I326">
        <v>14</v>
      </c>
      <c r="J326" s="6">
        <v>518.54999999999995</v>
      </c>
      <c r="K326" s="6">
        <v>7259.7</v>
      </c>
      <c r="L326" t="s">
        <v>22</v>
      </c>
      <c r="M326" t="s">
        <v>22</v>
      </c>
      <c r="N326" s="3">
        <v>46203</v>
      </c>
      <c r="O326" s="6">
        <v>7259.7</v>
      </c>
    </row>
    <row r="327" spans="1:15" x14ac:dyDescent="0.3">
      <c r="A327" t="s">
        <v>370</v>
      </c>
      <c r="B327" s="3">
        <v>45775</v>
      </c>
      <c r="C327" t="s">
        <v>294</v>
      </c>
      <c r="D327" t="s">
        <v>49</v>
      </c>
      <c r="E327" t="s">
        <v>18</v>
      </c>
      <c r="F327" t="s">
        <v>29</v>
      </c>
      <c r="G327" t="s">
        <v>20</v>
      </c>
      <c r="H327" t="s">
        <v>21</v>
      </c>
      <c r="I327">
        <v>14</v>
      </c>
      <c r="J327" s="6">
        <v>546.88</v>
      </c>
      <c r="K327" s="6">
        <v>7656.32</v>
      </c>
      <c r="L327" t="s">
        <v>22</v>
      </c>
      <c r="M327" t="s">
        <v>22</v>
      </c>
      <c r="N327" s="3">
        <v>46203</v>
      </c>
      <c r="O327" s="6">
        <v>7656.32</v>
      </c>
    </row>
    <row r="328" spans="1:15" x14ac:dyDescent="0.3">
      <c r="A328" t="s">
        <v>371</v>
      </c>
      <c r="B328" s="3">
        <v>45775</v>
      </c>
      <c r="C328" t="s">
        <v>294</v>
      </c>
      <c r="D328" t="s">
        <v>24</v>
      </c>
      <c r="E328" t="s">
        <v>50</v>
      </c>
      <c r="F328" t="s">
        <v>29</v>
      </c>
      <c r="G328" t="s">
        <v>39</v>
      </c>
      <c r="H328" t="s">
        <v>45</v>
      </c>
      <c r="I328">
        <v>14</v>
      </c>
      <c r="J328" s="6">
        <v>983.95</v>
      </c>
      <c r="K328" s="6">
        <v>13775.3</v>
      </c>
      <c r="L328" t="s">
        <v>22</v>
      </c>
      <c r="M328" t="s">
        <v>22</v>
      </c>
      <c r="N328" s="3">
        <v>46203</v>
      </c>
      <c r="O328" s="6">
        <v>13775.3</v>
      </c>
    </row>
    <row r="329" spans="1:15" x14ac:dyDescent="0.3">
      <c r="A329" t="s">
        <v>372</v>
      </c>
      <c r="B329" s="3">
        <v>45775</v>
      </c>
      <c r="C329" t="s">
        <v>294</v>
      </c>
      <c r="D329" t="s">
        <v>17</v>
      </c>
      <c r="E329" t="s">
        <v>18</v>
      </c>
      <c r="F329" t="s">
        <v>51</v>
      </c>
      <c r="G329" t="s">
        <v>39</v>
      </c>
      <c r="H329" t="s">
        <v>34</v>
      </c>
      <c r="I329">
        <v>14</v>
      </c>
      <c r="J329" s="6">
        <v>1426.19</v>
      </c>
      <c r="K329" s="6">
        <v>19966.66</v>
      </c>
      <c r="L329" t="s">
        <v>22</v>
      </c>
      <c r="M329" t="s">
        <v>22</v>
      </c>
      <c r="N329" s="3">
        <v>46203</v>
      </c>
      <c r="O329" s="6">
        <v>19966.66</v>
      </c>
    </row>
    <row r="330" spans="1:15" x14ac:dyDescent="0.3">
      <c r="A330" t="s">
        <v>373</v>
      </c>
      <c r="B330" s="3">
        <v>45776</v>
      </c>
      <c r="C330" t="s">
        <v>294</v>
      </c>
      <c r="D330" t="s">
        <v>24</v>
      </c>
      <c r="E330" t="s">
        <v>28</v>
      </c>
      <c r="F330" t="s">
        <v>29</v>
      </c>
      <c r="G330" t="s">
        <v>20</v>
      </c>
      <c r="H330" t="s">
        <v>34</v>
      </c>
      <c r="I330">
        <v>14</v>
      </c>
      <c r="J330" s="6">
        <v>853.53</v>
      </c>
      <c r="K330" s="6">
        <v>11949.42</v>
      </c>
      <c r="L330" t="s">
        <v>22</v>
      </c>
      <c r="M330" t="s">
        <v>22</v>
      </c>
      <c r="N330" s="3">
        <v>46203</v>
      </c>
      <c r="O330" s="6">
        <v>11949.42</v>
      </c>
    </row>
    <row r="331" spans="1:15" x14ac:dyDescent="0.3">
      <c r="A331" t="s">
        <v>374</v>
      </c>
      <c r="B331" s="3">
        <v>45777</v>
      </c>
      <c r="C331" t="s">
        <v>294</v>
      </c>
      <c r="D331" t="s">
        <v>24</v>
      </c>
      <c r="E331" t="s">
        <v>18</v>
      </c>
      <c r="F331" t="s">
        <v>51</v>
      </c>
      <c r="G331" t="s">
        <v>20</v>
      </c>
      <c r="H331" t="s">
        <v>21</v>
      </c>
      <c r="I331">
        <v>14</v>
      </c>
      <c r="J331" s="6">
        <v>924.39</v>
      </c>
      <c r="K331" s="6">
        <v>12941.46</v>
      </c>
      <c r="L331" t="s">
        <v>22</v>
      </c>
      <c r="M331" t="s">
        <v>22</v>
      </c>
      <c r="N331" s="3">
        <v>46203</v>
      </c>
      <c r="O331" s="6">
        <v>12941.46</v>
      </c>
    </row>
    <row r="332" spans="1:15" x14ac:dyDescent="0.3">
      <c r="A332" t="s">
        <v>375</v>
      </c>
      <c r="B332" s="3">
        <v>45777</v>
      </c>
      <c r="C332" t="s">
        <v>294</v>
      </c>
      <c r="D332" t="s">
        <v>49</v>
      </c>
      <c r="E332" t="s">
        <v>50</v>
      </c>
      <c r="F332" t="s">
        <v>19</v>
      </c>
      <c r="G332" t="s">
        <v>39</v>
      </c>
      <c r="H332" t="s">
        <v>34</v>
      </c>
      <c r="I332">
        <v>14</v>
      </c>
      <c r="J332" s="6">
        <v>513.99</v>
      </c>
      <c r="K332" s="6">
        <v>7195.86</v>
      </c>
      <c r="L332" t="s">
        <v>22</v>
      </c>
      <c r="M332" t="s">
        <v>22</v>
      </c>
      <c r="N332" s="3">
        <v>46203</v>
      </c>
      <c r="O332" s="6">
        <v>7195.86</v>
      </c>
    </row>
    <row r="333" spans="1:15" x14ac:dyDescent="0.3">
      <c r="A333" t="s">
        <v>376</v>
      </c>
      <c r="B333" s="3">
        <v>45778</v>
      </c>
      <c r="C333" t="s">
        <v>377</v>
      </c>
      <c r="D333" t="s">
        <v>17</v>
      </c>
      <c r="E333" t="s">
        <v>18</v>
      </c>
      <c r="F333" t="s">
        <v>19</v>
      </c>
      <c r="G333" t="s">
        <v>20</v>
      </c>
      <c r="H333" t="s">
        <v>34</v>
      </c>
      <c r="I333">
        <v>14</v>
      </c>
      <c r="J333" s="6">
        <v>1643.57</v>
      </c>
      <c r="K333" s="6">
        <v>23009.98</v>
      </c>
      <c r="L333" t="s">
        <v>22</v>
      </c>
      <c r="M333" t="s">
        <v>22</v>
      </c>
      <c r="N333" s="3">
        <v>46203</v>
      </c>
      <c r="O333" s="6">
        <v>23009.98</v>
      </c>
    </row>
    <row r="334" spans="1:15" x14ac:dyDescent="0.3">
      <c r="A334" t="s">
        <v>378</v>
      </c>
      <c r="B334" s="3">
        <v>45778</v>
      </c>
      <c r="C334" t="s">
        <v>377</v>
      </c>
      <c r="D334" t="s">
        <v>24</v>
      </c>
      <c r="E334" t="s">
        <v>18</v>
      </c>
      <c r="F334" t="s">
        <v>33</v>
      </c>
      <c r="G334" t="s">
        <v>20</v>
      </c>
      <c r="H334" t="s">
        <v>40</v>
      </c>
      <c r="I334">
        <v>14</v>
      </c>
      <c r="J334" s="6">
        <v>944.47</v>
      </c>
      <c r="K334" s="6">
        <v>13222.58</v>
      </c>
      <c r="L334" t="s">
        <v>22</v>
      </c>
      <c r="M334" t="s">
        <v>22</v>
      </c>
      <c r="N334" s="3">
        <v>46203</v>
      </c>
      <c r="O334" s="6">
        <v>13222.58</v>
      </c>
    </row>
    <row r="335" spans="1:15" x14ac:dyDescent="0.3">
      <c r="A335" t="s">
        <v>379</v>
      </c>
      <c r="B335" s="3">
        <v>45779</v>
      </c>
      <c r="C335" t="s">
        <v>377</v>
      </c>
      <c r="D335" t="s">
        <v>49</v>
      </c>
      <c r="E335" t="s">
        <v>18</v>
      </c>
      <c r="F335" t="s">
        <v>51</v>
      </c>
      <c r="G335" t="s">
        <v>39</v>
      </c>
      <c r="H335" t="s">
        <v>45</v>
      </c>
      <c r="I335">
        <v>14</v>
      </c>
      <c r="J335" s="6">
        <v>460.5</v>
      </c>
      <c r="K335" s="6">
        <v>6447</v>
      </c>
      <c r="L335" t="s">
        <v>22</v>
      </c>
      <c r="M335" t="s">
        <v>22</v>
      </c>
      <c r="N335" s="3">
        <v>46203</v>
      </c>
      <c r="O335" s="6">
        <v>6447</v>
      </c>
    </row>
    <row r="336" spans="1:15" x14ac:dyDescent="0.3">
      <c r="A336" t="s">
        <v>380</v>
      </c>
      <c r="B336" s="3">
        <v>45779</v>
      </c>
      <c r="C336" t="s">
        <v>377</v>
      </c>
      <c r="D336" t="s">
        <v>24</v>
      </c>
      <c r="E336" t="s">
        <v>25</v>
      </c>
      <c r="F336" t="s">
        <v>29</v>
      </c>
      <c r="G336" t="s">
        <v>20</v>
      </c>
      <c r="H336" t="s">
        <v>21</v>
      </c>
      <c r="I336">
        <v>14</v>
      </c>
      <c r="J336" s="6">
        <v>929.33</v>
      </c>
      <c r="K336" s="6">
        <v>13010.62</v>
      </c>
      <c r="L336" t="s">
        <v>22</v>
      </c>
      <c r="M336" t="s">
        <v>22</v>
      </c>
      <c r="N336" s="3">
        <v>46203</v>
      </c>
      <c r="O336" s="6">
        <v>13010.62</v>
      </c>
    </row>
    <row r="337" spans="1:15" x14ac:dyDescent="0.3">
      <c r="A337" t="s">
        <v>381</v>
      </c>
      <c r="B337" s="3">
        <v>45779</v>
      </c>
      <c r="C337" t="s">
        <v>377</v>
      </c>
      <c r="D337" t="s">
        <v>49</v>
      </c>
      <c r="E337" t="s">
        <v>25</v>
      </c>
      <c r="F337" t="s">
        <v>33</v>
      </c>
      <c r="G337" t="s">
        <v>39</v>
      </c>
      <c r="H337" t="s">
        <v>40</v>
      </c>
      <c r="I337">
        <v>14</v>
      </c>
      <c r="J337" s="6">
        <v>453.36</v>
      </c>
      <c r="K337" s="6">
        <v>6347.04</v>
      </c>
      <c r="L337" t="s">
        <v>22</v>
      </c>
      <c r="M337" t="s">
        <v>22</v>
      </c>
      <c r="N337" s="3">
        <v>46203</v>
      </c>
      <c r="O337" s="6">
        <v>6347.04</v>
      </c>
    </row>
    <row r="338" spans="1:15" x14ac:dyDescent="0.3">
      <c r="A338" t="s">
        <v>382</v>
      </c>
      <c r="B338" s="3">
        <v>45780</v>
      </c>
      <c r="C338" t="s">
        <v>377</v>
      </c>
      <c r="D338" t="s">
        <v>24</v>
      </c>
      <c r="E338" t="s">
        <v>25</v>
      </c>
      <c r="F338" t="s">
        <v>19</v>
      </c>
      <c r="G338" t="s">
        <v>39</v>
      </c>
      <c r="H338" t="s">
        <v>40</v>
      </c>
      <c r="I338">
        <v>14</v>
      </c>
      <c r="J338" s="6">
        <v>923.65</v>
      </c>
      <c r="K338" s="6">
        <v>12931.1</v>
      </c>
      <c r="L338" t="s">
        <v>22</v>
      </c>
      <c r="M338" t="s">
        <v>22</v>
      </c>
      <c r="N338" s="3">
        <v>46203</v>
      </c>
      <c r="O338" s="6">
        <v>12931.1</v>
      </c>
    </row>
    <row r="339" spans="1:15" x14ac:dyDescent="0.3">
      <c r="A339" t="s">
        <v>383</v>
      </c>
      <c r="B339" s="3">
        <v>45780</v>
      </c>
      <c r="C339" t="s">
        <v>377</v>
      </c>
      <c r="D339" t="s">
        <v>49</v>
      </c>
      <c r="E339" t="s">
        <v>25</v>
      </c>
      <c r="F339" t="s">
        <v>19</v>
      </c>
      <c r="G339" t="s">
        <v>39</v>
      </c>
      <c r="H339" t="s">
        <v>45</v>
      </c>
      <c r="I339">
        <v>6</v>
      </c>
      <c r="J339" s="6">
        <v>514.69000000000005</v>
      </c>
      <c r="K339" s="6">
        <v>3088.14</v>
      </c>
      <c r="L339" t="s">
        <v>30</v>
      </c>
      <c r="M339" t="s">
        <v>80</v>
      </c>
      <c r="N339" s="3">
        <v>45969</v>
      </c>
      <c r="O339" s="6">
        <v>3088.14</v>
      </c>
    </row>
    <row r="340" spans="1:15" x14ac:dyDescent="0.3">
      <c r="A340" t="s">
        <v>384</v>
      </c>
      <c r="B340" s="3">
        <v>45781</v>
      </c>
      <c r="C340" t="s">
        <v>377</v>
      </c>
      <c r="D340" t="s">
        <v>24</v>
      </c>
      <c r="E340" t="s">
        <v>50</v>
      </c>
      <c r="F340" t="s">
        <v>29</v>
      </c>
      <c r="G340" t="s">
        <v>39</v>
      </c>
      <c r="H340" t="s">
        <v>40</v>
      </c>
      <c r="I340">
        <v>14</v>
      </c>
      <c r="J340" s="6">
        <v>962.67</v>
      </c>
      <c r="K340" s="6">
        <v>13477.38</v>
      </c>
      <c r="L340" t="s">
        <v>22</v>
      </c>
      <c r="M340" t="s">
        <v>22</v>
      </c>
      <c r="N340" s="3">
        <v>46203</v>
      </c>
      <c r="O340" s="6">
        <v>13477.38</v>
      </c>
    </row>
    <row r="341" spans="1:15" x14ac:dyDescent="0.3">
      <c r="A341" t="s">
        <v>385</v>
      </c>
      <c r="B341" s="3">
        <v>45781</v>
      </c>
      <c r="C341" t="s">
        <v>377</v>
      </c>
      <c r="D341" t="s">
        <v>24</v>
      </c>
      <c r="E341" t="s">
        <v>25</v>
      </c>
      <c r="F341" t="s">
        <v>19</v>
      </c>
      <c r="G341" t="s">
        <v>39</v>
      </c>
      <c r="H341" t="s">
        <v>40</v>
      </c>
      <c r="I341">
        <v>14</v>
      </c>
      <c r="J341" s="6">
        <v>853.15</v>
      </c>
      <c r="K341" s="6">
        <v>11944.1</v>
      </c>
      <c r="L341" t="s">
        <v>22</v>
      </c>
      <c r="M341" t="s">
        <v>22</v>
      </c>
      <c r="N341" s="3">
        <v>46203</v>
      </c>
      <c r="O341" s="6">
        <v>11944.1</v>
      </c>
    </row>
    <row r="342" spans="1:15" x14ac:dyDescent="0.3">
      <c r="A342" t="s">
        <v>386</v>
      </c>
      <c r="B342" s="3">
        <v>45783</v>
      </c>
      <c r="C342" t="s">
        <v>377</v>
      </c>
      <c r="D342" t="s">
        <v>49</v>
      </c>
      <c r="E342" t="s">
        <v>50</v>
      </c>
      <c r="F342" t="s">
        <v>19</v>
      </c>
      <c r="G342" t="s">
        <v>39</v>
      </c>
      <c r="H342" t="s">
        <v>21</v>
      </c>
      <c r="I342">
        <v>14</v>
      </c>
      <c r="J342" s="6">
        <v>475.15</v>
      </c>
      <c r="K342" s="6">
        <v>6652.1</v>
      </c>
      <c r="L342" t="s">
        <v>22</v>
      </c>
      <c r="M342" t="s">
        <v>22</v>
      </c>
      <c r="N342" s="3">
        <v>46203</v>
      </c>
      <c r="O342" s="6">
        <v>6652.1</v>
      </c>
    </row>
    <row r="343" spans="1:15" x14ac:dyDescent="0.3">
      <c r="A343" t="s">
        <v>387</v>
      </c>
      <c r="B343" s="3">
        <v>45783</v>
      </c>
      <c r="C343" t="s">
        <v>377</v>
      </c>
      <c r="D343" t="s">
        <v>24</v>
      </c>
      <c r="E343" t="s">
        <v>25</v>
      </c>
      <c r="F343" t="s">
        <v>38</v>
      </c>
      <c r="G343" t="s">
        <v>39</v>
      </c>
      <c r="H343" t="s">
        <v>21</v>
      </c>
      <c r="I343">
        <v>14</v>
      </c>
      <c r="J343" s="6">
        <v>831.38</v>
      </c>
      <c r="K343" s="6">
        <v>11639.32</v>
      </c>
      <c r="L343" t="s">
        <v>22</v>
      </c>
      <c r="M343" t="s">
        <v>22</v>
      </c>
      <c r="N343" s="3">
        <v>46203</v>
      </c>
      <c r="O343" s="6">
        <v>11639.32</v>
      </c>
    </row>
    <row r="344" spans="1:15" x14ac:dyDescent="0.3">
      <c r="A344" t="s">
        <v>388</v>
      </c>
      <c r="B344" s="3">
        <v>45784</v>
      </c>
      <c r="C344" t="s">
        <v>377</v>
      </c>
      <c r="D344" t="s">
        <v>49</v>
      </c>
      <c r="E344" t="s">
        <v>25</v>
      </c>
      <c r="F344" t="s">
        <v>19</v>
      </c>
      <c r="G344" t="s">
        <v>39</v>
      </c>
      <c r="H344" t="s">
        <v>40</v>
      </c>
      <c r="I344">
        <v>14</v>
      </c>
      <c r="J344" s="6">
        <v>510.61</v>
      </c>
      <c r="K344" s="6">
        <v>7148.54</v>
      </c>
      <c r="L344" t="s">
        <v>22</v>
      </c>
      <c r="M344" t="s">
        <v>22</v>
      </c>
      <c r="N344" s="3">
        <v>46203</v>
      </c>
      <c r="O344" s="6">
        <v>7148.54</v>
      </c>
    </row>
    <row r="345" spans="1:15" x14ac:dyDescent="0.3">
      <c r="A345" t="s">
        <v>389</v>
      </c>
      <c r="B345" s="3">
        <v>45784</v>
      </c>
      <c r="C345" t="s">
        <v>377</v>
      </c>
      <c r="D345" t="s">
        <v>24</v>
      </c>
      <c r="E345" t="s">
        <v>25</v>
      </c>
      <c r="F345" t="s">
        <v>38</v>
      </c>
      <c r="G345" t="s">
        <v>20</v>
      </c>
      <c r="H345" t="s">
        <v>21</v>
      </c>
      <c r="I345">
        <v>14</v>
      </c>
      <c r="J345" s="6">
        <v>817.75</v>
      </c>
      <c r="K345" s="6">
        <v>11448.5</v>
      </c>
      <c r="L345" t="s">
        <v>22</v>
      </c>
      <c r="M345" t="s">
        <v>22</v>
      </c>
      <c r="N345" s="3">
        <v>46203</v>
      </c>
      <c r="O345" s="6">
        <v>11448.5</v>
      </c>
    </row>
    <row r="346" spans="1:15" x14ac:dyDescent="0.3">
      <c r="A346" t="s">
        <v>390</v>
      </c>
      <c r="B346" s="3">
        <v>45786</v>
      </c>
      <c r="C346" t="s">
        <v>377</v>
      </c>
      <c r="D346" t="s">
        <v>24</v>
      </c>
      <c r="E346" t="s">
        <v>25</v>
      </c>
      <c r="F346" t="s">
        <v>51</v>
      </c>
      <c r="G346" t="s">
        <v>20</v>
      </c>
      <c r="H346" t="s">
        <v>40</v>
      </c>
      <c r="I346">
        <v>14</v>
      </c>
      <c r="J346" s="6">
        <v>853.48</v>
      </c>
      <c r="K346" s="6">
        <v>11948.72</v>
      </c>
      <c r="L346" t="s">
        <v>22</v>
      </c>
      <c r="M346" t="s">
        <v>22</v>
      </c>
      <c r="N346" s="3">
        <v>46203</v>
      </c>
      <c r="O346" s="6">
        <v>11948.72</v>
      </c>
    </row>
    <row r="347" spans="1:15" x14ac:dyDescent="0.3">
      <c r="A347" t="s">
        <v>391</v>
      </c>
      <c r="B347" s="3">
        <v>45787</v>
      </c>
      <c r="C347" t="s">
        <v>377</v>
      </c>
      <c r="D347" t="s">
        <v>17</v>
      </c>
      <c r="E347" t="s">
        <v>25</v>
      </c>
      <c r="F347" t="s">
        <v>29</v>
      </c>
      <c r="G347" t="s">
        <v>39</v>
      </c>
      <c r="H347" t="s">
        <v>40</v>
      </c>
      <c r="I347">
        <v>14</v>
      </c>
      <c r="J347" s="6">
        <v>1528.95</v>
      </c>
      <c r="K347" s="6">
        <v>21405.3</v>
      </c>
      <c r="L347" t="s">
        <v>22</v>
      </c>
      <c r="M347" t="s">
        <v>22</v>
      </c>
      <c r="N347" s="3">
        <v>46203</v>
      </c>
      <c r="O347" s="6">
        <v>21405.3</v>
      </c>
    </row>
    <row r="348" spans="1:15" x14ac:dyDescent="0.3">
      <c r="A348" t="s">
        <v>392</v>
      </c>
      <c r="B348" s="3">
        <v>45788</v>
      </c>
      <c r="C348" t="s">
        <v>377</v>
      </c>
      <c r="D348" t="s">
        <v>17</v>
      </c>
      <c r="E348" t="s">
        <v>18</v>
      </c>
      <c r="F348" t="s">
        <v>29</v>
      </c>
      <c r="G348" t="s">
        <v>39</v>
      </c>
      <c r="H348" t="s">
        <v>45</v>
      </c>
      <c r="I348">
        <v>14</v>
      </c>
      <c r="J348" s="6">
        <v>1642.6</v>
      </c>
      <c r="K348" s="6">
        <v>22996.400000000001</v>
      </c>
      <c r="L348" t="s">
        <v>22</v>
      </c>
      <c r="M348" t="s">
        <v>22</v>
      </c>
      <c r="N348" s="3">
        <v>46203</v>
      </c>
      <c r="O348" s="6">
        <v>22996.400000000001</v>
      </c>
    </row>
    <row r="349" spans="1:15" x14ac:dyDescent="0.3">
      <c r="A349" t="s">
        <v>393</v>
      </c>
      <c r="B349" s="3">
        <v>45789</v>
      </c>
      <c r="C349" t="s">
        <v>377</v>
      </c>
      <c r="D349" t="s">
        <v>24</v>
      </c>
      <c r="E349" t="s">
        <v>28</v>
      </c>
      <c r="F349" t="s">
        <v>29</v>
      </c>
      <c r="G349" t="s">
        <v>20</v>
      </c>
      <c r="H349" t="s">
        <v>21</v>
      </c>
      <c r="I349">
        <v>14</v>
      </c>
      <c r="J349" s="6">
        <v>890.6</v>
      </c>
      <c r="K349" s="6">
        <v>12468.4</v>
      </c>
      <c r="L349" t="s">
        <v>22</v>
      </c>
      <c r="M349" t="s">
        <v>22</v>
      </c>
      <c r="N349" s="3">
        <v>46203</v>
      </c>
      <c r="O349" s="6">
        <v>12468.4</v>
      </c>
    </row>
    <row r="350" spans="1:15" x14ac:dyDescent="0.3">
      <c r="A350" t="s">
        <v>394</v>
      </c>
      <c r="B350" s="3">
        <v>45789</v>
      </c>
      <c r="C350" t="s">
        <v>377</v>
      </c>
      <c r="D350" t="s">
        <v>24</v>
      </c>
      <c r="E350" t="s">
        <v>25</v>
      </c>
      <c r="F350" t="s">
        <v>38</v>
      </c>
      <c r="G350" t="s">
        <v>39</v>
      </c>
      <c r="H350" t="s">
        <v>21</v>
      </c>
      <c r="I350">
        <v>14</v>
      </c>
      <c r="J350" s="6">
        <v>893.97</v>
      </c>
      <c r="K350" s="6">
        <v>12515.58</v>
      </c>
      <c r="L350" t="s">
        <v>22</v>
      </c>
      <c r="M350" t="s">
        <v>22</v>
      </c>
      <c r="N350" s="3">
        <v>46203</v>
      </c>
      <c r="O350" s="6">
        <v>12515.58</v>
      </c>
    </row>
    <row r="351" spans="1:15" x14ac:dyDescent="0.3">
      <c r="A351" t="s">
        <v>395</v>
      </c>
      <c r="B351" s="3">
        <v>45790</v>
      </c>
      <c r="C351" t="s">
        <v>377</v>
      </c>
      <c r="D351" t="s">
        <v>49</v>
      </c>
      <c r="E351" t="s">
        <v>25</v>
      </c>
      <c r="F351" t="s">
        <v>19</v>
      </c>
      <c r="G351" t="s">
        <v>39</v>
      </c>
      <c r="H351" t="s">
        <v>21</v>
      </c>
      <c r="I351">
        <v>14</v>
      </c>
      <c r="J351" s="6">
        <v>484.05</v>
      </c>
      <c r="K351" s="6">
        <v>6776.7</v>
      </c>
      <c r="L351" t="s">
        <v>22</v>
      </c>
      <c r="M351" t="s">
        <v>22</v>
      </c>
      <c r="N351" s="3">
        <v>46203</v>
      </c>
      <c r="O351" s="6">
        <v>6776.7</v>
      </c>
    </row>
    <row r="352" spans="1:15" x14ac:dyDescent="0.3">
      <c r="A352" t="s">
        <v>396</v>
      </c>
      <c r="B352" s="3">
        <v>45790</v>
      </c>
      <c r="C352" t="s">
        <v>377</v>
      </c>
      <c r="D352" t="s">
        <v>24</v>
      </c>
      <c r="E352" t="s">
        <v>28</v>
      </c>
      <c r="F352" t="s">
        <v>51</v>
      </c>
      <c r="G352" t="s">
        <v>39</v>
      </c>
      <c r="H352" t="s">
        <v>40</v>
      </c>
      <c r="I352">
        <v>14</v>
      </c>
      <c r="J352" s="6">
        <v>883.52</v>
      </c>
      <c r="K352" s="6">
        <v>12369.28</v>
      </c>
      <c r="L352" t="s">
        <v>22</v>
      </c>
      <c r="M352" t="s">
        <v>22</v>
      </c>
      <c r="N352" s="3">
        <v>46203</v>
      </c>
      <c r="O352" s="6">
        <v>12369.28</v>
      </c>
    </row>
    <row r="353" spans="1:15" x14ac:dyDescent="0.3">
      <c r="A353" t="s">
        <v>397</v>
      </c>
      <c r="B353" s="3">
        <v>45790</v>
      </c>
      <c r="C353" t="s">
        <v>377</v>
      </c>
      <c r="D353" t="s">
        <v>49</v>
      </c>
      <c r="E353" t="s">
        <v>25</v>
      </c>
      <c r="F353" t="s">
        <v>19</v>
      </c>
      <c r="G353" t="s">
        <v>39</v>
      </c>
      <c r="H353" t="s">
        <v>40</v>
      </c>
      <c r="I353">
        <v>14</v>
      </c>
      <c r="J353" s="6">
        <v>458.2</v>
      </c>
      <c r="K353" s="6">
        <v>6414.8</v>
      </c>
      <c r="L353" t="s">
        <v>22</v>
      </c>
      <c r="M353" t="s">
        <v>22</v>
      </c>
      <c r="N353" s="3">
        <v>46203</v>
      </c>
      <c r="O353" s="6">
        <v>6414.8</v>
      </c>
    </row>
    <row r="354" spans="1:15" x14ac:dyDescent="0.3">
      <c r="A354" t="s">
        <v>398</v>
      </c>
      <c r="B354" s="3">
        <v>45790</v>
      </c>
      <c r="C354" t="s">
        <v>377</v>
      </c>
      <c r="D354" t="s">
        <v>49</v>
      </c>
      <c r="E354" t="s">
        <v>18</v>
      </c>
      <c r="F354" t="s">
        <v>51</v>
      </c>
      <c r="G354" t="s">
        <v>39</v>
      </c>
      <c r="H354" t="s">
        <v>34</v>
      </c>
      <c r="I354">
        <v>14</v>
      </c>
      <c r="J354" s="6">
        <v>534.49</v>
      </c>
      <c r="K354" s="6">
        <v>7482.86</v>
      </c>
      <c r="L354" t="s">
        <v>22</v>
      </c>
      <c r="M354" t="s">
        <v>22</v>
      </c>
      <c r="N354" s="3">
        <v>46203</v>
      </c>
      <c r="O354" s="6">
        <v>7482.86</v>
      </c>
    </row>
    <row r="355" spans="1:15" x14ac:dyDescent="0.3">
      <c r="A355" t="s">
        <v>399</v>
      </c>
      <c r="B355" s="3">
        <v>45791</v>
      </c>
      <c r="C355" t="s">
        <v>377</v>
      </c>
      <c r="D355" t="s">
        <v>17</v>
      </c>
      <c r="E355" t="s">
        <v>50</v>
      </c>
      <c r="F355" t="s">
        <v>38</v>
      </c>
      <c r="G355" t="s">
        <v>26</v>
      </c>
      <c r="H355" t="s">
        <v>21</v>
      </c>
      <c r="I355">
        <v>10</v>
      </c>
      <c r="J355" s="6">
        <v>1379.44</v>
      </c>
      <c r="K355" s="6">
        <v>13794.4</v>
      </c>
      <c r="L355" t="s">
        <v>30</v>
      </c>
      <c r="M355" t="s">
        <v>31</v>
      </c>
      <c r="N355" s="3">
        <v>46089</v>
      </c>
      <c r="O355" s="6">
        <v>13794.4</v>
      </c>
    </row>
    <row r="356" spans="1:15" x14ac:dyDescent="0.3">
      <c r="A356" t="s">
        <v>400</v>
      </c>
      <c r="B356" s="3">
        <v>45791</v>
      </c>
      <c r="C356" t="s">
        <v>377</v>
      </c>
      <c r="D356" t="s">
        <v>49</v>
      </c>
      <c r="E356" t="s">
        <v>50</v>
      </c>
      <c r="F356" t="s">
        <v>19</v>
      </c>
      <c r="G356" t="s">
        <v>20</v>
      </c>
      <c r="H356" t="s">
        <v>45</v>
      </c>
      <c r="I356">
        <v>10</v>
      </c>
      <c r="J356" s="6">
        <v>531.29999999999995</v>
      </c>
      <c r="K356" s="6">
        <v>5313</v>
      </c>
      <c r="L356" t="s">
        <v>30</v>
      </c>
      <c r="M356" t="s">
        <v>36</v>
      </c>
      <c r="N356" s="3">
        <v>46094</v>
      </c>
      <c r="O356" s="6">
        <v>5313</v>
      </c>
    </row>
    <row r="357" spans="1:15" x14ac:dyDescent="0.3">
      <c r="A357" t="s">
        <v>401</v>
      </c>
      <c r="B357" s="3">
        <v>45791</v>
      </c>
      <c r="C357" t="s">
        <v>377</v>
      </c>
      <c r="D357" t="s">
        <v>17</v>
      </c>
      <c r="E357" t="s">
        <v>25</v>
      </c>
      <c r="F357" t="s">
        <v>51</v>
      </c>
      <c r="G357" t="s">
        <v>26</v>
      </c>
      <c r="H357" t="s">
        <v>45</v>
      </c>
      <c r="I357">
        <v>14</v>
      </c>
      <c r="J357" s="6">
        <v>1384.07</v>
      </c>
      <c r="K357" s="6">
        <v>19376.98</v>
      </c>
      <c r="L357" t="s">
        <v>22</v>
      </c>
      <c r="M357" t="s">
        <v>22</v>
      </c>
      <c r="N357" s="3">
        <v>46203</v>
      </c>
      <c r="O357" s="6">
        <v>19376.98</v>
      </c>
    </row>
    <row r="358" spans="1:15" x14ac:dyDescent="0.3">
      <c r="A358" t="s">
        <v>402</v>
      </c>
      <c r="B358" s="3">
        <v>45792</v>
      </c>
      <c r="C358" t="s">
        <v>377</v>
      </c>
      <c r="D358" t="s">
        <v>49</v>
      </c>
      <c r="E358" t="s">
        <v>28</v>
      </c>
      <c r="F358" t="s">
        <v>19</v>
      </c>
      <c r="G358" t="s">
        <v>39</v>
      </c>
      <c r="H358" t="s">
        <v>40</v>
      </c>
      <c r="I358">
        <v>10</v>
      </c>
      <c r="J358" s="6">
        <v>500.77</v>
      </c>
      <c r="K358" s="6">
        <v>5007.7</v>
      </c>
      <c r="L358" t="s">
        <v>30</v>
      </c>
      <c r="M358" t="s">
        <v>36</v>
      </c>
      <c r="N358" s="3">
        <v>46098</v>
      </c>
      <c r="O358" s="6">
        <v>5007.7</v>
      </c>
    </row>
    <row r="359" spans="1:15" x14ac:dyDescent="0.3">
      <c r="A359" t="s">
        <v>403</v>
      </c>
      <c r="B359" s="3">
        <v>45792</v>
      </c>
      <c r="C359" t="s">
        <v>377</v>
      </c>
      <c r="D359" t="s">
        <v>24</v>
      </c>
      <c r="E359" t="s">
        <v>25</v>
      </c>
      <c r="F359" t="s">
        <v>33</v>
      </c>
      <c r="G359" t="s">
        <v>39</v>
      </c>
      <c r="H359" t="s">
        <v>21</v>
      </c>
      <c r="I359">
        <v>14</v>
      </c>
      <c r="J359" s="6">
        <v>810.07</v>
      </c>
      <c r="K359" s="6">
        <v>11340.98</v>
      </c>
      <c r="L359" t="s">
        <v>22</v>
      </c>
      <c r="M359" t="s">
        <v>22</v>
      </c>
      <c r="N359" s="3">
        <v>46203</v>
      </c>
      <c r="O359" s="6">
        <v>11340.98</v>
      </c>
    </row>
    <row r="360" spans="1:15" x14ac:dyDescent="0.3">
      <c r="A360" t="s">
        <v>404</v>
      </c>
      <c r="B360" s="3">
        <v>45793</v>
      </c>
      <c r="C360" t="s">
        <v>377</v>
      </c>
      <c r="D360" t="s">
        <v>49</v>
      </c>
      <c r="E360" t="s">
        <v>25</v>
      </c>
      <c r="F360" t="s">
        <v>33</v>
      </c>
      <c r="G360" t="s">
        <v>39</v>
      </c>
      <c r="H360" t="s">
        <v>21</v>
      </c>
      <c r="I360">
        <v>13</v>
      </c>
      <c r="J360" s="6">
        <v>464.69</v>
      </c>
      <c r="K360" s="6">
        <v>6040.97</v>
      </c>
      <c r="L360" t="s">
        <v>22</v>
      </c>
      <c r="M360" t="s">
        <v>22</v>
      </c>
      <c r="N360" s="3">
        <v>46203</v>
      </c>
      <c r="O360" s="6">
        <v>6040.97</v>
      </c>
    </row>
    <row r="361" spans="1:15" x14ac:dyDescent="0.3">
      <c r="A361" t="s">
        <v>405</v>
      </c>
      <c r="B361" s="3">
        <v>45793</v>
      </c>
      <c r="C361" t="s">
        <v>377</v>
      </c>
      <c r="D361" t="s">
        <v>24</v>
      </c>
      <c r="E361" t="s">
        <v>28</v>
      </c>
      <c r="F361" t="s">
        <v>19</v>
      </c>
      <c r="G361" t="s">
        <v>20</v>
      </c>
      <c r="H361" t="s">
        <v>21</v>
      </c>
      <c r="I361">
        <v>13</v>
      </c>
      <c r="J361" s="6">
        <v>853.97</v>
      </c>
      <c r="K361" s="6">
        <v>11101.61</v>
      </c>
      <c r="L361" t="s">
        <v>22</v>
      </c>
      <c r="M361" t="s">
        <v>22</v>
      </c>
      <c r="N361" s="3">
        <v>46203</v>
      </c>
      <c r="O361" s="6">
        <v>11101.61</v>
      </c>
    </row>
    <row r="362" spans="1:15" x14ac:dyDescent="0.3">
      <c r="A362" t="s">
        <v>406</v>
      </c>
      <c r="B362" s="3">
        <v>45793</v>
      </c>
      <c r="C362" t="s">
        <v>377</v>
      </c>
      <c r="D362" t="s">
        <v>24</v>
      </c>
      <c r="E362" t="s">
        <v>50</v>
      </c>
      <c r="F362" t="s">
        <v>29</v>
      </c>
      <c r="G362" t="s">
        <v>20</v>
      </c>
      <c r="H362" t="s">
        <v>21</v>
      </c>
      <c r="I362">
        <v>13</v>
      </c>
      <c r="J362" s="6">
        <v>862.75</v>
      </c>
      <c r="K362" s="6">
        <v>11215.75</v>
      </c>
      <c r="L362" t="s">
        <v>22</v>
      </c>
      <c r="M362" t="s">
        <v>22</v>
      </c>
      <c r="N362" s="3">
        <v>46203</v>
      </c>
      <c r="O362" s="6">
        <v>11215.75</v>
      </c>
    </row>
    <row r="363" spans="1:15" x14ac:dyDescent="0.3">
      <c r="A363" t="s">
        <v>407</v>
      </c>
      <c r="B363" s="3">
        <v>45793</v>
      </c>
      <c r="C363" t="s">
        <v>377</v>
      </c>
      <c r="D363" t="s">
        <v>17</v>
      </c>
      <c r="E363" t="s">
        <v>25</v>
      </c>
      <c r="F363" t="s">
        <v>19</v>
      </c>
      <c r="G363" t="s">
        <v>20</v>
      </c>
      <c r="H363" t="s">
        <v>21</v>
      </c>
      <c r="I363">
        <v>13</v>
      </c>
      <c r="J363" s="6">
        <v>1543.7</v>
      </c>
      <c r="K363" s="6">
        <v>20068.099999999999</v>
      </c>
      <c r="L363" t="s">
        <v>22</v>
      </c>
      <c r="M363" t="s">
        <v>22</v>
      </c>
      <c r="N363" s="3">
        <v>46203</v>
      </c>
      <c r="O363" s="6">
        <v>20068.099999999999</v>
      </c>
    </row>
    <row r="364" spans="1:15" x14ac:dyDescent="0.3">
      <c r="A364" t="s">
        <v>408</v>
      </c>
      <c r="B364" s="3">
        <v>45794</v>
      </c>
      <c r="C364" t="s">
        <v>377</v>
      </c>
      <c r="D364" t="s">
        <v>49</v>
      </c>
      <c r="E364" t="s">
        <v>25</v>
      </c>
      <c r="F364" t="s">
        <v>29</v>
      </c>
      <c r="G364" t="s">
        <v>39</v>
      </c>
      <c r="H364" t="s">
        <v>40</v>
      </c>
      <c r="I364">
        <v>13</v>
      </c>
      <c r="J364" s="6">
        <v>530.53</v>
      </c>
      <c r="K364" s="6">
        <v>6896.89</v>
      </c>
      <c r="L364" t="s">
        <v>22</v>
      </c>
      <c r="M364" t="s">
        <v>22</v>
      </c>
      <c r="N364" s="3">
        <v>46203</v>
      </c>
      <c r="O364" s="6">
        <v>6896.89</v>
      </c>
    </row>
    <row r="365" spans="1:15" x14ac:dyDescent="0.3">
      <c r="A365" t="s">
        <v>409</v>
      </c>
      <c r="B365" s="3">
        <v>45794</v>
      </c>
      <c r="C365" t="s">
        <v>377</v>
      </c>
      <c r="D365" t="s">
        <v>24</v>
      </c>
      <c r="E365" t="s">
        <v>50</v>
      </c>
      <c r="F365" t="s">
        <v>29</v>
      </c>
      <c r="G365" t="s">
        <v>39</v>
      </c>
      <c r="H365" t="s">
        <v>40</v>
      </c>
      <c r="I365">
        <v>13</v>
      </c>
      <c r="J365" s="6">
        <v>836.96</v>
      </c>
      <c r="K365" s="6">
        <v>10880.48</v>
      </c>
      <c r="L365" t="s">
        <v>22</v>
      </c>
      <c r="M365" t="s">
        <v>22</v>
      </c>
      <c r="N365" s="3">
        <v>46203</v>
      </c>
      <c r="O365" s="6">
        <v>10880.48</v>
      </c>
    </row>
    <row r="366" spans="1:15" x14ac:dyDescent="0.3">
      <c r="A366" t="s">
        <v>410</v>
      </c>
      <c r="B366" s="3">
        <v>45794</v>
      </c>
      <c r="C366" t="s">
        <v>377</v>
      </c>
      <c r="D366" t="s">
        <v>49</v>
      </c>
      <c r="E366" t="s">
        <v>28</v>
      </c>
      <c r="F366" t="s">
        <v>51</v>
      </c>
      <c r="G366" t="s">
        <v>39</v>
      </c>
      <c r="H366" t="s">
        <v>21</v>
      </c>
      <c r="I366">
        <v>13</v>
      </c>
      <c r="J366" s="6">
        <v>501.34</v>
      </c>
      <c r="K366" s="6">
        <v>6517.42</v>
      </c>
      <c r="L366" t="s">
        <v>22</v>
      </c>
      <c r="M366" t="s">
        <v>22</v>
      </c>
      <c r="N366" s="3">
        <v>46203</v>
      </c>
      <c r="O366" s="6">
        <v>6517.42</v>
      </c>
    </row>
    <row r="367" spans="1:15" x14ac:dyDescent="0.3">
      <c r="A367" t="s">
        <v>411</v>
      </c>
      <c r="B367" s="3">
        <v>45795</v>
      </c>
      <c r="C367" t="s">
        <v>377</v>
      </c>
      <c r="D367" t="s">
        <v>17</v>
      </c>
      <c r="E367" t="s">
        <v>28</v>
      </c>
      <c r="F367" t="s">
        <v>19</v>
      </c>
      <c r="G367" t="s">
        <v>20</v>
      </c>
      <c r="H367" t="s">
        <v>21</v>
      </c>
      <c r="I367">
        <v>5</v>
      </c>
      <c r="J367" s="6">
        <v>1479.21</v>
      </c>
      <c r="K367" s="6">
        <v>7396.05</v>
      </c>
      <c r="L367" t="s">
        <v>30</v>
      </c>
      <c r="M367" t="s">
        <v>80</v>
      </c>
      <c r="N367" s="3">
        <v>45946</v>
      </c>
      <c r="O367" s="6">
        <v>7396.05</v>
      </c>
    </row>
    <row r="368" spans="1:15" x14ac:dyDescent="0.3">
      <c r="A368" t="s">
        <v>412</v>
      </c>
      <c r="B368" s="3">
        <v>45795</v>
      </c>
      <c r="C368" t="s">
        <v>377</v>
      </c>
      <c r="D368" t="s">
        <v>24</v>
      </c>
      <c r="E368" t="s">
        <v>50</v>
      </c>
      <c r="F368" t="s">
        <v>33</v>
      </c>
      <c r="G368" t="s">
        <v>20</v>
      </c>
      <c r="H368" t="s">
        <v>40</v>
      </c>
      <c r="I368">
        <v>13</v>
      </c>
      <c r="J368" s="6">
        <v>814.15</v>
      </c>
      <c r="K368" s="6">
        <v>10583.95</v>
      </c>
      <c r="L368" t="s">
        <v>22</v>
      </c>
      <c r="M368" t="s">
        <v>22</v>
      </c>
      <c r="N368" s="3">
        <v>46203</v>
      </c>
      <c r="O368" s="6">
        <v>10583.95</v>
      </c>
    </row>
    <row r="369" spans="1:15" x14ac:dyDescent="0.3">
      <c r="A369" t="s">
        <v>413</v>
      </c>
      <c r="B369" s="3">
        <v>45796</v>
      </c>
      <c r="C369" t="s">
        <v>377</v>
      </c>
      <c r="D369" t="s">
        <v>24</v>
      </c>
      <c r="E369" t="s">
        <v>50</v>
      </c>
      <c r="F369" t="s">
        <v>33</v>
      </c>
      <c r="G369" t="s">
        <v>39</v>
      </c>
      <c r="H369" t="s">
        <v>40</v>
      </c>
      <c r="I369">
        <v>13</v>
      </c>
      <c r="J369" s="6">
        <v>856.47</v>
      </c>
      <c r="K369" s="6">
        <v>11134.11</v>
      </c>
      <c r="L369" t="s">
        <v>22</v>
      </c>
      <c r="M369" t="s">
        <v>22</v>
      </c>
      <c r="N369" s="3">
        <v>46203</v>
      </c>
      <c r="O369" s="6">
        <v>11134.11</v>
      </c>
    </row>
    <row r="370" spans="1:15" x14ac:dyDescent="0.3">
      <c r="A370" t="s">
        <v>414</v>
      </c>
      <c r="B370" s="3">
        <v>45796</v>
      </c>
      <c r="C370" t="s">
        <v>377</v>
      </c>
      <c r="D370" t="s">
        <v>24</v>
      </c>
      <c r="E370" t="s">
        <v>28</v>
      </c>
      <c r="F370" t="s">
        <v>19</v>
      </c>
      <c r="G370" t="s">
        <v>39</v>
      </c>
      <c r="H370" t="s">
        <v>21</v>
      </c>
      <c r="I370">
        <v>13</v>
      </c>
      <c r="J370" s="6">
        <v>937.21</v>
      </c>
      <c r="K370" s="6">
        <v>12183.73</v>
      </c>
      <c r="L370" t="s">
        <v>22</v>
      </c>
      <c r="M370" t="s">
        <v>22</v>
      </c>
      <c r="N370" s="3">
        <v>46203</v>
      </c>
      <c r="O370" s="6">
        <v>12183.73</v>
      </c>
    </row>
    <row r="371" spans="1:15" x14ac:dyDescent="0.3">
      <c r="A371" t="s">
        <v>415</v>
      </c>
      <c r="B371" s="3">
        <v>45797</v>
      </c>
      <c r="C371" t="s">
        <v>377</v>
      </c>
      <c r="D371" t="s">
        <v>17</v>
      </c>
      <c r="E371" t="s">
        <v>28</v>
      </c>
      <c r="F371" t="s">
        <v>19</v>
      </c>
      <c r="G371" t="s">
        <v>26</v>
      </c>
      <c r="H371" t="s">
        <v>40</v>
      </c>
      <c r="I371">
        <v>13</v>
      </c>
      <c r="J371" s="6">
        <v>1407.64</v>
      </c>
      <c r="K371" s="6">
        <v>18299.32</v>
      </c>
      <c r="L371" t="s">
        <v>22</v>
      </c>
      <c r="M371" t="s">
        <v>22</v>
      </c>
      <c r="N371" s="3">
        <v>46203</v>
      </c>
      <c r="O371" s="6">
        <v>18299.32</v>
      </c>
    </row>
    <row r="372" spans="1:15" x14ac:dyDescent="0.3">
      <c r="A372" t="s">
        <v>416</v>
      </c>
      <c r="B372" s="3">
        <v>45797</v>
      </c>
      <c r="C372" t="s">
        <v>377</v>
      </c>
      <c r="D372" t="s">
        <v>17</v>
      </c>
      <c r="E372" t="s">
        <v>18</v>
      </c>
      <c r="F372" t="s">
        <v>29</v>
      </c>
      <c r="G372" t="s">
        <v>39</v>
      </c>
      <c r="H372" t="s">
        <v>40</v>
      </c>
      <c r="I372">
        <v>13</v>
      </c>
      <c r="J372" s="6">
        <v>1382.3</v>
      </c>
      <c r="K372" s="6">
        <v>17969.900000000001</v>
      </c>
      <c r="L372" t="s">
        <v>22</v>
      </c>
      <c r="M372" t="s">
        <v>22</v>
      </c>
      <c r="N372" s="3">
        <v>46203</v>
      </c>
      <c r="O372" s="6">
        <v>17969.900000000001</v>
      </c>
    </row>
    <row r="373" spans="1:15" x14ac:dyDescent="0.3">
      <c r="A373" t="s">
        <v>417</v>
      </c>
      <c r="B373" s="3">
        <v>45798</v>
      </c>
      <c r="C373" t="s">
        <v>377</v>
      </c>
      <c r="D373" t="s">
        <v>17</v>
      </c>
      <c r="E373" t="s">
        <v>28</v>
      </c>
      <c r="F373" t="s">
        <v>19</v>
      </c>
      <c r="G373" t="s">
        <v>39</v>
      </c>
      <c r="H373" t="s">
        <v>45</v>
      </c>
      <c r="I373">
        <v>13</v>
      </c>
      <c r="J373" s="6">
        <v>1634.52</v>
      </c>
      <c r="K373" s="6">
        <v>21248.76</v>
      </c>
      <c r="L373" t="s">
        <v>22</v>
      </c>
      <c r="M373" t="s">
        <v>22</v>
      </c>
      <c r="N373" s="3">
        <v>46203</v>
      </c>
      <c r="O373" s="6">
        <v>21248.76</v>
      </c>
    </row>
    <row r="374" spans="1:15" x14ac:dyDescent="0.3">
      <c r="A374" t="s">
        <v>418</v>
      </c>
      <c r="B374" s="3">
        <v>45799</v>
      </c>
      <c r="C374" t="s">
        <v>377</v>
      </c>
      <c r="D374" t="s">
        <v>24</v>
      </c>
      <c r="E374" t="s">
        <v>28</v>
      </c>
      <c r="F374" t="s">
        <v>33</v>
      </c>
      <c r="G374" t="s">
        <v>39</v>
      </c>
      <c r="H374" t="s">
        <v>21</v>
      </c>
      <c r="I374">
        <v>13</v>
      </c>
      <c r="J374" s="6">
        <v>810.8</v>
      </c>
      <c r="K374" s="6">
        <v>10540.4</v>
      </c>
      <c r="L374" t="s">
        <v>22</v>
      </c>
      <c r="M374" t="s">
        <v>22</v>
      </c>
      <c r="N374" s="3">
        <v>46203</v>
      </c>
      <c r="O374" s="6">
        <v>10540.4</v>
      </c>
    </row>
    <row r="375" spans="1:15" x14ac:dyDescent="0.3">
      <c r="A375" t="s">
        <v>419</v>
      </c>
      <c r="B375" s="3">
        <v>45800</v>
      </c>
      <c r="C375" t="s">
        <v>377</v>
      </c>
      <c r="D375" t="s">
        <v>49</v>
      </c>
      <c r="E375" t="s">
        <v>28</v>
      </c>
      <c r="F375" t="s">
        <v>19</v>
      </c>
      <c r="G375" t="s">
        <v>26</v>
      </c>
      <c r="H375" t="s">
        <v>21</v>
      </c>
      <c r="I375">
        <v>7</v>
      </c>
      <c r="J375" s="6">
        <v>483.97</v>
      </c>
      <c r="K375" s="6">
        <v>3387.79</v>
      </c>
      <c r="L375" t="s">
        <v>30</v>
      </c>
      <c r="M375" t="s">
        <v>41</v>
      </c>
      <c r="N375" s="3">
        <v>45998</v>
      </c>
      <c r="O375" s="6">
        <v>3387.79</v>
      </c>
    </row>
    <row r="376" spans="1:15" x14ac:dyDescent="0.3">
      <c r="A376" t="s">
        <v>420</v>
      </c>
      <c r="B376" s="3">
        <v>45801</v>
      </c>
      <c r="C376" t="s">
        <v>377</v>
      </c>
      <c r="D376" t="s">
        <v>49</v>
      </c>
      <c r="E376" t="s">
        <v>25</v>
      </c>
      <c r="F376" t="s">
        <v>33</v>
      </c>
      <c r="G376" t="s">
        <v>20</v>
      </c>
      <c r="H376" t="s">
        <v>40</v>
      </c>
      <c r="I376">
        <v>6</v>
      </c>
      <c r="J376" s="6">
        <v>503.49</v>
      </c>
      <c r="K376" s="6">
        <v>3020.94</v>
      </c>
      <c r="L376" t="s">
        <v>30</v>
      </c>
      <c r="M376" t="s">
        <v>31</v>
      </c>
      <c r="N376" s="3">
        <v>45983</v>
      </c>
      <c r="O376" s="6">
        <v>3020.94</v>
      </c>
    </row>
    <row r="377" spans="1:15" x14ac:dyDescent="0.3">
      <c r="A377" t="s">
        <v>421</v>
      </c>
      <c r="B377" s="3">
        <v>45803</v>
      </c>
      <c r="C377" t="s">
        <v>377</v>
      </c>
      <c r="D377" t="s">
        <v>49</v>
      </c>
      <c r="E377" t="s">
        <v>25</v>
      </c>
      <c r="F377" t="s">
        <v>33</v>
      </c>
      <c r="G377" t="s">
        <v>39</v>
      </c>
      <c r="H377" t="s">
        <v>21</v>
      </c>
      <c r="I377">
        <v>13</v>
      </c>
      <c r="J377" s="6">
        <v>532.54</v>
      </c>
      <c r="K377" s="6">
        <v>6923.02</v>
      </c>
      <c r="L377" t="s">
        <v>22</v>
      </c>
      <c r="M377" t="s">
        <v>22</v>
      </c>
      <c r="N377" s="3">
        <v>46203</v>
      </c>
      <c r="O377" s="6">
        <v>6923.02</v>
      </c>
    </row>
    <row r="378" spans="1:15" x14ac:dyDescent="0.3">
      <c r="A378" t="s">
        <v>422</v>
      </c>
      <c r="B378" s="3">
        <v>45804</v>
      </c>
      <c r="C378" t="s">
        <v>377</v>
      </c>
      <c r="D378" t="s">
        <v>49</v>
      </c>
      <c r="E378" t="s">
        <v>28</v>
      </c>
      <c r="F378" t="s">
        <v>51</v>
      </c>
      <c r="G378" t="s">
        <v>39</v>
      </c>
      <c r="H378" t="s">
        <v>21</v>
      </c>
      <c r="I378">
        <v>13</v>
      </c>
      <c r="J378" s="6">
        <v>496.21</v>
      </c>
      <c r="K378" s="6">
        <v>6450.73</v>
      </c>
      <c r="L378" t="s">
        <v>22</v>
      </c>
      <c r="M378" t="s">
        <v>22</v>
      </c>
      <c r="N378" s="3">
        <v>46203</v>
      </c>
      <c r="O378" s="6">
        <v>6450.73</v>
      </c>
    </row>
    <row r="379" spans="1:15" x14ac:dyDescent="0.3">
      <c r="A379" t="s">
        <v>423</v>
      </c>
      <c r="B379" s="3">
        <v>45804</v>
      </c>
      <c r="C379" t="s">
        <v>377</v>
      </c>
      <c r="D379" t="s">
        <v>17</v>
      </c>
      <c r="E379" t="s">
        <v>25</v>
      </c>
      <c r="F379" t="s">
        <v>51</v>
      </c>
      <c r="G379" t="s">
        <v>39</v>
      </c>
      <c r="H379" t="s">
        <v>34</v>
      </c>
      <c r="I379">
        <v>13</v>
      </c>
      <c r="J379" s="6">
        <v>1440.94</v>
      </c>
      <c r="K379" s="6">
        <v>18732.22</v>
      </c>
      <c r="L379" t="s">
        <v>22</v>
      </c>
      <c r="M379" t="s">
        <v>22</v>
      </c>
      <c r="N379" s="3">
        <v>46203</v>
      </c>
      <c r="O379" s="6">
        <v>18732.22</v>
      </c>
    </row>
    <row r="380" spans="1:15" x14ac:dyDescent="0.3">
      <c r="A380" t="s">
        <v>424</v>
      </c>
      <c r="B380" s="3">
        <v>45805</v>
      </c>
      <c r="C380" t="s">
        <v>377</v>
      </c>
      <c r="D380" t="s">
        <v>49</v>
      </c>
      <c r="E380" t="s">
        <v>25</v>
      </c>
      <c r="F380" t="s">
        <v>29</v>
      </c>
      <c r="G380" t="s">
        <v>39</v>
      </c>
      <c r="H380" t="s">
        <v>34</v>
      </c>
      <c r="I380">
        <v>13</v>
      </c>
      <c r="J380" s="6">
        <v>540.01</v>
      </c>
      <c r="K380" s="6">
        <v>7020.13</v>
      </c>
      <c r="L380" t="s">
        <v>22</v>
      </c>
      <c r="M380" t="s">
        <v>22</v>
      </c>
      <c r="N380" s="3">
        <v>46203</v>
      </c>
      <c r="O380" s="6">
        <v>7020.13</v>
      </c>
    </row>
    <row r="381" spans="1:15" x14ac:dyDescent="0.3">
      <c r="A381" t="s">
        <v>425</v>
      </c>
      <c r="B381" s="3">
        <v>45805</v>
      </c>
      <c r="C381" t="s">
        <v>377</v>
      </c>
      <c r="D381" t="s">
        <v>17</v>
      </c>
      <c r="E381" t="s">
        <v>18</v>
      </c>
      <c r="F381" t="s">
        <v>38</v>
      </c>
      <c r="G381" t="s">
        <v>39</v>
      </c>
      <c r="H381" t="s">
        <v>45</v>
      </c>
      <c r="I381">
        <v>13</v>
      </c>
      <c r="J381" s="6">
        <v>1377.81</v>
      </c>
      <c r="K381" s="6">
        <v>17911.53</v>
      </c>
      <c r="L381" t="s">
        <v>22</v>
      </c>
      <c r="M381" t="s">
        <v>22</v>
      </c>
      <c r="N381" s="3">
        <v>46203</v>
      </c>
      <c r="O381" s="6">
        <v>17911.53</v>
      </c>
    </row>
    <row r="382" spans="1:15" x14ac:dyDescent="0.3">
      <c r="A382" t="s">
        <v>426</v>
      </c>
      <c r="B382" s="3">
        <v>45806</v>
      </c>
      <c r="C382" t="s">
        <v>377</v>
      </c>
      <c r="D382" t="s">
        <v>24</v>
      </c>
      <c r="E382" t="s">
        <v>18</v>
      </c>
      <c r="F382" t="s">
        <v>38</v>
      </c>
      <c r="G382" t="s">
        <v>39</v>
      </c>
      <c r="H382" t="s">
        <v>21</v>
      </c>
      <c r="I382">
        <v>13</v>
      </c>
      <c r="J382" s="6">
        <v>938.46</v>
      </c>
      <c r="K382" s="6">
        <v>12199.98</v>
      </c>
      <c r="L382" t="s">
        <v>22</v>
      </c>
      <c r="M382" t="s">
        <v>22</v>
      </c>
      <c r="N382" s="3">
        <v>46203</v>
      </c>
      <c r="O382" s="6">
        <v>12199.98</v>
      </c>
    </row>
    <row r="383" spans="1:15" x14ac:dyDescent="0.3">
      <c r="A383" t="s">
        <v>427</v>
      </c>
      <c r="B383" s="3">
        <v>45806</v>
      </c>
      <c r="C383" t="s">
        <v>377</v>
      </c>
      <c r="D383" t="s">
        <v>49</v>
      </c>
      <c r="E383" t="s">
        <v>25</v>
      </c>
      <c r="F383" t="s">
        <v>29</v>
      </c>
      <c r="G383" t="s">
        <v>20</v>
      </c>
      <c r="H383" t="s">
        <v>21</v>
      </c>
      <c r="I383">
        <v>13</v>
      </c>
      <c r="J383" s="6">
        <v>462.08</v>
      </c>
      <c r="K383" s="6">
        <v>6007.04</v>
      </c>
      <c r="L383" t="s">
        <v>22</v>
      </c>
      <c r="M383" t="s">
        <v>22</v>
      </c>
      <c r="N383" s="3">
        <v>46203</v>
      </c>
      <c r="O383" s="6">
        <v>6007.04</v>
      </c>
    </row>
    <row r="384" spans="1:15" x14ac:dyDescent="0.3">
      <c r="A384" t="s">
        <v>428</v>
      </c>
      <c r="B384" s="3">
        <v>45807</v>
      </c>
      <c r="C384" t="s">
        <v>377</v>
      </c>
      <c r="D384" t="s">
        <v>49</v>
      </c>
      <c r="E384" t="s">
        <v>18</v>
      </c>
      <c r="F384" t="s">
        <v>29</v>
      </c>
      <c r="G384" t="s">
        <v>20</v>
      </c>
      <c r="H384" t="s">
        <v>40</v>
      </c>
      <c r="I384">
        <v>12</v>
      </c>
      <c r="J384" s="6">
        <v>501.83</v>
      </c>
      <c r="K384" s="6">
        <v>6021.96</v>
      </c>
      <c r="L384" t="s">
        <v>30</v>
      </c>
      <c r="M384" t="s">
        <v>80</v>
      </c>
      <c r="N384" s="3">
        <v>46180</v>
      </c>
      <c r="O384" s="6">
        <v>6021.96</v>
      </c>
    </row>
    <row r="385" spans="1:15" x14ac:dyDescent="0.3">
      <c r="A385" t="s">
        <v>429</v>
      </c>
      <c r="B385" s="3">
        <v>45807</v>
      </c>
      <c r="C385" t="s">
        <v>377</v>
      </c>
      <c r="D385" t="s">
        <v>24</v>
      </c>
      <c r="E385" t="s">
        <v>18</v>
      </c>
      <c r="F385" t="s">
        <v>38</v>
      </c>
      <c r="G385" t="s">
        <v>39</v>
      </c>
      <c r="H385" t="s">
        <v>21</v>
      </c>
      <c r="I385">
        <v>13</v>
      </c>
      <c r="J385" s="6">
        <v>941.94</v>
      </c>
      <c r="K385" s="6">
        <v>12245.22</v>
      </c>
      <c r="L385" t="s">
        <v>22</v>
      </c>
      <c r="M385" t="s">
        <v>22</v>
      </c>
      <c r="N385" s="3">
        <v>46203</v>
      </c>
      <c r="O385" s="6">
        <v>12245.22</v>
      </c>
    </row>
    <row r="386" spans="1:15" x14ac:dyDescent="0.3">
      <c r="A386" t="s">
        <v>430</v>
      </c>
      <c r="B386" s="3">
        <v>45807</v>
      </c>
      <c r="C386" t="s">
        <v>377</v>
      </c>
      <c r="D386" t="s">
        <v>24</v>
      </c>
      <c r="E386" t="s">
        <v>18</v>
      </c>
      <c r="F386" t="s">
        <v>19</v>
      </c>
      <c r="G386" t="s">
        <v>26</v>
      </c>
      <c r="H386" t="s">
        <v>21</v>
      </c>
      <c r="I386">
        <v>13</v>
      </c>
      <c r="J386" s="6">
        <v>976.81</v>
      </c>
      <c r="K386" s="6">
        <v>12698.53</v>
      </c>
      <c r="L386" t="s">
        <v>22</v>
      </c>
      <c r="M386" t="s">
        <v>22</v>
      </c>
      <c r="N386" s="3">
        <v>46203</v>
      </c>
      <c r="O386" s="6">
        <v>12698.53</v>
      </c>
    </row>
    <row r="387" spans="1:15" x14ac:dyDescent="0.3">
      <c r="A387" t="s">
        <v>431</v>
      </c>
      <c r="B387" s="3">
        <v>45807</v>
      </c>
      <c r="C387" t="s">
        <v>377</v>
      </c>
      <c r="D387" t="s">
        <v>17</v>
      </c>
      <c r="E387" t="s">
        <v>50</v>
      </c>
      <c r="F387" t="s">
        <v>33</v>
      </c>
      <c r="G387" t="s">
        <v>39</v>
      </c>
      <c r="H387" t="s">
        <v>34</v>
      </c>
      <c r="I387">
        <v>13</v>
      </c>
      <c r="J387" s="6">
        <v>1384.91</v>
      </c>
      <c r="K387" s="6">
        <v>18003.830000000002</v>
      </c>
      <c r="L387" t="s">
        <v>22</v>
      </c>
      <c r="M387" t="s">
        <v>22</v>
      </c>
      <c r="N387" s="3">
        <v>46203</v>
      </c>
      <c r="O387" s="6">
        <v>18003.830000000002</v>
      </c>
    </row>
    <row r="388" spans="1:15" x14ac:dyDescent="0.3">
      <c r="A388" t="s">
        <v>432</v>
      </c>
      <c r="B388" s="3">
        <v>45807</v>
      </c>
      <c r="C388" t="s">
        <v>377</v>
      </c>
      <c r="D388" t="s">
        <v>49</v>
      </c>
      <c r="E388" t="s">
        <v>25</v>
      </c>
      <c r="F388" t="s">
        <v>38</v>
      </c>
      <c r="G388" t="s">
        <v>39</v>
      </c>
      <c r="H388" t="s">
        <v>21</v>
      </c>
      <c r="I388">
        <v>13</v>
      </c>
      <c r="J388" s="6">
        <v>486.58</v>
      </c>
      <c r="K388" s="6">
        <v>6325.54</v>
      </c>
      <c r="L388" t="s">
        <v>22</v>
      </c>
      <c r="M388" t="s">
        <v>22</v>
      </c>
      <c r="N388" s="3">
        <v>46203</v>
      </c>
      <c r="O388" s="6">
        <v>6325.54</v>
      </c>
    </row>
    <row r="389" spans="1:15" x14ac:dyDescent="0.3">
      <c r="A389" t="s">
        <v>433</v>
      </c>
      <c r="B389" s="3">
        <v>45808</v>
      </c>
      <c r="C389" t="s">
        <v>377</v>
      </c>
      <c r="D389" t="s">
        <v>17</v>
      </c>
      <c r="E389" t="s">
        <v>28</v>
      </c>
      <c r="F389" t="s">
        <v>19</v>
      </c>
      <c r="G389" t="s">
        <v>26</v>
      </c>
      <c r="H389" t="s">
        <v>21</v>
      </c>
      <c r="I389">
        <v>13</v>
      </c>
      <c r="J389" s="6">
        <v>1637.57</v>
      </c>
      <c r="K389" s="6">
        <v>21288.41</v>
      </c>
      <c r="L389" t="s">
        <v>22</v>
      </c>
      <c r="M389" t="s">
        <v>22</v>
      </c>
      <c r="N389" s="3">
        <v>46203</v>
      </c>
      <c r="O389" s="6">
        <v>21288.41</v>
      </c>
    </row>
    <row r="390" spans="1:15" x14ac:dyDescent="0.3">
      <c r="A390" t="s">
        <v>434</v>
      </c>
      <c r="B390" s="3">
        <v>45808</v>
      </c>
      <c r="C390" t="s">
        <v>377</v>
      </c>
      <c r="D390" t="s">
        <v>24</v>
      </c>
      <c r="E390" t="s">
        <v>18</v>
      </c>
      <c r="F390" t="s">
        <v>19</v>
      </c>
      <c r="G390" t="s">
        <v>39</v>
      </c>
      <c r="H390" t="s">
        <v>21</v>
      </c>
      <c r="I390">
        <v>13</v>
      </c>
      <c r="J390" s="6">
        <v>876.76</v>
      </c>
      <c r="K390" s="6">
        <v>11397.88</v>
      </c>
      <c r="L390" t="s">
        <v>22</v>
      </c>
      <c r="M390" t="s">
        <v>22</v>
      </c>
      <c r="N390" s="3">
        <v>46203</v>
      </c>
      <c r="O390" s="6">
        <v>11397.88</v>
      </c>
    </row>
    <row r="391" spans="1:15" x14ac:dyDescent="0.3">
      <c r="A391" t="s">
        <v>435</v>
      </c>
      <c r="B391" s="3">
        <v>45808</v>
      </c>
      <c r="C391" t="s">
        <v>377</v>
      </c>
      <c r="D391" t="s">
        <v>24</v>
      </c>
      <c r="E391" t="s">
        <v>28</v>
      </c>
      <c r="F391" t="s">
        <v>38</v>
      </c>
      <c r="G391" t="s">
        <v>20</v>
      </c>
      <c r="H391" t="s">
        <v>21</v>
      </c>
      <c r="I391">
        <v>13</v>
      </c>
      <c r="J391" s="6">
        <v>937.27</v>
      </c>
      <c r="K391" s="6">
        <v>12184.51</v>
      </c>
      <c r="L391" t="s">
        <v>22</v>
      </c>
      <c r="M391" t="s">
        <v>22</v>
      </c>
      <c r="N391" s="3">
        <v>46203</v>
      </c>
      <c r="O391" s="6">
        <v>12184.51</v>
      </c>
    </row>
    <row r="392" spans="1:15" x14ac:dyDescent="0.3">
      <c r="A392" t="s">
        <v>436</v>
      </c>
      <c r="B392" s="3">
        <v>45809</v>
      </c>
      <c r="C392" t="s">
        <v>437</v>
      </c>
      <c r="D392" t="s">
        <v>24</v>
      </c>
      <c r="E392" t="s">
        <v>28</v>
      </c>
      <c r="F392" t="s">
        <v>51</v>
      </c>
      <c r="G392" t="s">
        <v>20</v>
      </c>
      <c r="H392" t="s">
        <v>21</v>
      </c>
      <c r="I392">
        <v>7</v>
      </c>
      <c r="J392" s="6">
        <v>818.15</v>
      </c>
      <c r="K392" s="6">
        <v>5727.05</v>
      </c>
      <c r="L392" t="s">
        <v>30</v>
      </c>
      <c r="M392" t="s">
        <v>80</v>
      </c>
      <c r="N392" s="3">
        <v>46032</v>
      </c>
      <c r="O392" s="6">
        <v>5727.05</v>
      </c>
    </row>
    <row r="393" spans="1:15" x14ac:dyDescent="0.3">
      <c r="A393" t="s">
        <v>438</v>
      </c>
      <c r="B393" s="3">
        <v>45809</v>
      </c>
      <c r="C393" t="s">
        <v>437</v>
      </c>
      <c r="D393" t="s">
        <v>24</v>
      </c>
      <c r="E393" t="s">
        <v>28</v>
      </c>
      <c r="F393" t="s">
        <v>29</v>
      </c>
      <c r="G393" t="s">
        <v>20</v>
      </c>
      <c r="H393" t="s">
        <v>40</v>
      </c>
      <c r="I393">
        <v>13</v>
      </c>
      <c r="J393" s="6">
        <v>980.63</v>
      </c>
      <c r="K393" s="6">
        <v>12748.19</v>
      </c>
      <c r="L393" t="s">
        <v>22</v>
      </c>
      <c r="M393" t="s">
        <v>22</v>
      </c>
      <c r="N393" s="3">
        <v>46203</v>
      </c>
      <c r="O393" s="6">
        <v>12748.19</v>
      </c>
    </row>
    <row r="394" spans="1:15" x14ac:dyDescent="0.3">
      <c r="A394" t="s">
        <v>439</v>
      </c>
      <c r="B394" s="3">
        <v>45810</v>
      </c>
      <c r="C394" t="s">
        <v>437</v>
      </c>
      <c r="D394" t="s">
        <v>49</v>
      </c>
      <c r="E394" t="s">
        <v>50</v>
      </c>
      <c r="F394" t="s">
        <v>29</v>
      </c>
      <c r="G394" t="s">
        <v>39</v>
      </c>
      <c r="H394" t="s">
        <v>21</v>
      </c>
      <c r="I394">
        <v>13</v>
      </c>
      <c r="J394" s="6">
        <v>509.7</v>
      </c>
      <c r="K394" s="6">
        <v>6626.1</v>
      </c>
      <c r="L394" t="s">
        <v>22</v>
      </c>
      <c r="M394" t="s">
        <v>22</v>
      </c>
      <c r="N394" s="3">
        <v>46203</v>
      </c>
      <c r="O394" s="6">
        <v>6626.1</v>
      </c>
    </row>
    <row r="395" spans="1:15" x14ac:dyDescent="0.3">
      <c r="A395" t="s">
        <v>440</v>
      </c>
      <c r="B395" s="3">
        <v>45810</v>
      </c>
      <c r="C395" t="s">
        <v>437</v>
      </c>
      <c r="D395" t="s">
        <v>49</v>
      </c>
      <c r="E395" t="s">
        <v>25</v>
      </c>
      <c r="F395" t="s">
        <v>19</v>
      </c>
      <c r="G395" t="s">
        <v>39</v>
      </c>
      <c r="H395" t="s">
        <v>21</v>
      </c>
      <c r="I395">
        <v>13</v>
      </c>
      <c r="J395" s="6">
        <v>480.08</v>
      </c>
      <c r="K395" s="6">
        <v>6241.04</v>
      </c>
      <c r="L395" t="s">
        <v>22</v>
      </c>
      <c r="M395" t="s">
        <v>22</v>
      </c>
      <c r="N395" s="3">
        <v>46203</v>
      </c>
      <c r="O395" s="6">
        <v>6241.04</v>
      </c>
    </row>
    <row r="396" spans="1:15" x14ac:dyDescent="0.3">
      <c r="A396" t="s">
        <v>441</v>
      </c>
      <c r="B396" s="3">
        <v>45810</v>
      </c>
      <c r="C396" t="s">
        <v>437</v>
      </c>
      <c r="D396" t="s">
        <v>49</v>
      </c>
      <c r="E396" t="s">
        <v>25</v>
      </c>
      <c r="F396" t="s">
        <v>33</v>
      </c>
      <c r="G396" t="s">
        <v>39</v>
      </c>
      <c r="H396" t="s">
        <v>40</v>
      </c>
      <c r="I396">
        <v>13</v>
      </c>
      <c r="J396" s="6">
        <v>505.14</v>
      </c>
      <c r="K396" s="6">
        <v>6566.82</v>
      </c>
      <c r="L396" t="s">
        <v>22</v>
      </c>
      <c r="M396" t="s">
        <v>22</v>
      </c>
      <c r="N396" s="3">
        <v>46203</v>
      </c>
      <c r="O396" s="6">
        <v>6566.82</v>
      </c>
    </row>
    <row r="397" spans="1:15" x14ac:dyDescent="0.3">
      <c r="A397" t="s">
        <v>442</v>
      </c>
      <c r="B397" s="3">
        <v>45810</v>
      </c>
      <c r="C397" t="s">
        <v>437</v>
      </c>
      <c r="D397" t="s">
        <v>24</v>
      </c>
      <c r="E397" t="s">
        <v>28</v>
      </c>
      <c r="F397" t="s">
        <v>51</v>
      </c>
      <c r="G397" t="s">
        <v>39</v>
      </c>
      <c r="H397" t="s">
        <v>45</v>
      </c>
      <c r="I397">
        <v>13</v>
      </c>
      <c r="J397" s="6">
        <v>893.01</v>
      </c>
      <c r="K397" s="6">
        <v>11609.13</v>
      </c>
      <c r="L397" t="s">
        <v>22</v>
      </c>
      <c r="M397" t="s">
        <v>22</v>
      </c>
      <c r="N397" s="3">
        <v>46203</v>
      </c>
      <c r="O397" s="6">
        <v>11609.13</v>
      </c>
    </row>
    <row r="398" spans="1:15" x14ac:dyDescent="0.3">
      <c r="A398" t="s">
        <v>443</v>
      </c>
      <c r="B398" s="3">
        <v>45810</v>
      </c>
      <c r="C398" t="s">
        <v>437</v>
      </c>
      <c r="D398" t="s">
        <v>49</v>
      </c>
      <c r="E398" t="s">
        <v>28</v>
      </c>
      <c r="F398" t="s">
        <v>38</v>
      </c>
      <c r="G398" t="s">
        <v>20</v>
      </c>
      <c r="H398" t="s">
        <v>21</v>
      </c>
      <c r="I398">
        <v>13</v>
      </c>
      <c r="J398" s="6">
        <v>471.4</v>
      </c>
      <c r="K398" s="6">
        <v>6128.2</v>
      </c>
      <c r="L398" t="s">
        <v>22</v>
      </c>
      <c r="M398" t="s">
        <v>22</v>
      </c>
      <c r="N398" s="3">
        <v>46203</v>
      </c>
      <c r="O398" s="6">
        <v>6128.2</v>
      </c>
    </row>
    <row r="399" spans="1:15" x14ac:dyDescent="0.3">
      <c r="A399" t="s">
        <v>444</v>
      </c>
      <c r="B399" s="3">
        <v>45810</v>
      </c>
      <c r="C399" t="s">
        <v>437</v>
      </c>
      <c r="D399" t="s">
        <v>49</v>
      </c>
      <c r="E399" t="s">
        <v>25</v>
      </c>
      <c r="F399" t="s">
        <v>29</v>
      </c>
      <c r="G399" t="s">
        <v>39</v>
      </c>
      <c r="H399" t="s">
        <v>40</v>
      </c>
      <c r="I399">
        <v>13</v>
      </c>
      <c r="J399" s="6">
        <v>483.2</v>
      </c>
      <c r="K399" s="6">
        <v>6281.6</v>
      </c>
      <c r="L399" t="s">
        <v>22</v>
      </c>
      <c r="M399" t="s">
        <v>22</v>
      </c>
      <c r="N399" s="3">
        <v>46203</v>
      </c>
      <c r="O399" s="6">
        <v>6281.6</v>
      </c>
    </row>
    <row r="400" spans="1:15" x14ac:dyDescent="0.3">
      <c r="A400" t="s">
        <v>445</v>
      </c>
      <c r="B400" s="3">
        <v>45810</v>
      </c>
      <c r="C400" t="s">
        <v>437</v>
      </c>
      <c r="D400" t="s">
        <v>49</v>
      </c>
      <c r="E400" t="s">
        <v>50</v>
      </c>
      <c r="F400" t="s">
        <v>19</v>
      </c>
      <c r="G400" t="s">
        <v>39</v>
      </c>
      <c r="H400" t="s">
        <v>40</v>
      </c>
      <c r="I400">
        <v>1</v>
      </c>
      <c r="J400" s="6">
        <v>470.05</v>
      </c>
      <c r="K400" s="6">
        <v>470.05</v>
      </c>
      <c r="L400" t="s">
        <v>30</v>
      </c>
      <c r="M400" t="s">
        <v>41</v>
      </c>
      <c r="N400" s="3">
        <v>45854</v>
      </c>
      <c r="O400" s="6">
        <v>470.05</v>
      </c>
    </row>
    <row r="401" spans="1:15" x14ac:dyDescent="0.3">
      <c r="A401" t="s">
        <v>446</v>
      </c>
      <c r="B401" s="3">
        <v>45810</v>
      </c>
      <c r="C401" t="s">
        <v>437</v>
      </c>
      <c r="D401" t="s">
        <v>24</v>
      </c>
      <c r="E401" t="s">
        <v>18</v>
      </c>
      <c r="F401" t="s">
        <v>33</v>
      </c>
      <c r="G401" t="s">
        <v>39</v>
      </c>
      <c r="H401" t="s">
        <v>45</v>
      </c>
      <c r="I401">
        <v>3</v>
      </c>
      <c r="J401" s="6">
        <v>897.19</v>
      </c>
      <c r="K401" s="6">
        <v>2691.57</v>
      </c>
      <c r="L401" t="s">
        <v>30</v>
      </c>
      <c r="M401" t="s">
        <v>43</v>
      </c>
      <c r="N401" s="3">
        <v>45911</v>
      </c>
      <c r="O401" s="6">
        <v>2691.57</v>
      </c>
    </row>
    <row r="402" spans="1:15" x14ac:dyDescent="0.3">
      <c r="A402" t="s">
        <v>447</v>
      </c>
      <c r="B402" s="3">
        <v>45812</v>
      </c>
      <c r="C402" t="s">
        <v>437</v>
      </c>
      <c r="D402" t="s">
        <v>49</v>
      </c>
      <c r="E402" t="s">
        <v>28</v>
      </c>
      <c r="F402" t="s">
        <v>19</v>
      </c>
      <c r="G402" t="s">
        <v>39</v>
      </c>
      <c r="H402" t="s">
        <v>40</v>
      </c>
      <c r="I402">
        <v>13</v>
      </c>
      <c r="J402" s="6">
        <v>470.07</v>
      </c>
      <c r="K402" s="6">
        <v>6110.91</v>
      </c>
      <c r="L402" t="s">
        <v>22</v>
      </c>
      <c r="M402" t="s">
        <v>22</v>
      </c>
      <c r="N402" s="3">
        <v>46203</v>
      </c>
      <c r="O402" s="6">
        <v>6110.91</v>
      </c>
    </row>
    <row r="403" spans="1:15" x14ac:dyDescent="0.3">
      <c r="A403" t="s">
        <v>448</v>
      </c>
      <c r="B403" s="3">
        <v>45813</v>
      </c>
      <c r="C403" t="s">
        <v>437</v>
      </c>
      <c r="D403" t="s">
        <v>49</v>
      </c>
      <c r="E403" t="s">
        <v>28</v>
      </c>
      <c r="F403" t="s">
        <v>33</v>
      </c>
      <c r="G403" t="s">
        <v>39</v>
      </c>
      <c r="H403" t="s">
        <v>40</v>
      </c>
      <c r="I403">
        <v>13</v>
      </c>
      <c r="J403" s="6">
        <v>530.82000000000005</v>
      </c>
      <c r="K403" s="6">
        <v>6900.66</v>
      </c>
      <c r="L403" t="s">
        <v>22</v>
      </c>
      <c r="M403" t="s">
        <v>22</v>
      </c>
      <c r="N403" s="3">
        <v>46203</v>
      </c>
      <c r="O403" s="6">
        <v>6900.66</v>
      </c>
    </row>
    <row r="404" spans="1:15" x14ac:dyDescent="0.3">
      <c r="A404" t="s">
        <v>449</v>
      </c>
      <c r="B404" s="3">
        <v>45814</v>
      </c>
      <c r="C404" t="s">
        <v>437</v>
      </c>
      <c r="D404" t="s">
        <v>17</v>
      </c>
      <c r="E404" t="s">
        <v>18</v>
      </c>
      <c r="F404" t="s">
        <v>33</v>
      </c>
      <c r="G404" t="s">
        <v>20</v>
      </c>
      <c r="H404" t="s">
        <v>21</v>
      </c>
      <c r="I404">
        <v>13</v>
      </c>
      <c r="J404" s="6">
        <v>1431.11</v>
      </c>
      <c r="K404" s="6">
        <v>18604.43</v>
      </c>
      <c r="L404" t="s">
        <v>22</v>
      </c>
      <c r="M404" t="s">
        <v>22</v>
      </c>
      <c r="N404" s="3">
        <v>46203</v>
      </c>
      <c r="O404" s="6">
        <v>18604.43</v>
      </c>
    </row>
    <row r="405" spans="1:15" x14ac:dyDescent="0.3">
      <c r="A405" t="s">
        <v>450</v>
      </c>
      <c r="B405" s="3">
        <v>45814</v>
      </c>
      <c r="C405" t="s">
        <v>437</v>
      </c>
      <c r="D405" t="s">
        <v>49</v>
      </c>
      <c r="E405" t="s">
        <v>28</v>
      </c>
      <c r="F405" t="s">
        <v>29</v>
      </c>
      <c r="G405" t="s">
        <v>39</v>
      </c>
      <c r="H405" t="s">
        <v>21</v>
      </c>
      <c r="I405">
        <v>13</v>
      </c>
      <c r="J405" s="6">
        <v>488.3</v>
      </c>
      <c r="K405" s="6">
        <v>6347.9</v>
      </c>
      <c r="L405" t="s">
        <v>22</v>
      </c>
      <c r="M405" t="s">
        <v>22</v>
      </c>
      <c r="N405" s="3">
        <v>46203</v>
      </c>
      <c r="O405" s="6">
        <v>6347.9</v>
      </c>
    </row>
    <row r="406" spans="1:15" x14ac:dyDescent="0.3">
      <c r="A406" t="s">
        <v>451</v>
      </c>
      <c r="B406" s="3">
        <v>45815</v>
      </c>
      <c r="C406" t="s">
        <v>437</v>
      </c>
      <c r="D406" t="s">
        <v>49</v>
      </c>
      <c r="E406" t="s">
        <v>25</v>
      </c>
      <c r="F406" t="s">
        <v>19</v>
      </c>
      <c r="G406" t="s">
        <v>20</v>
      </c>
      <c r="H406" t="s">
        <v>21</v>
      </c>
      <c r="I406">
        <v>13</v>
      </c>
      <c r="J406" s="6">
        <v>515.77</v>
      </c>
      <c r="K406" s="6">
        <v>6705.01</v>
      </c>
      <c r="L406" t="s">
        <v>22</v>
      </c>
      <c r="M406" t="s">
        <v>22</v>
      </c>
      <c r="N406" s="3">
        <v>46203</v>
      </c>
      <c r="O406" s="6">
        <v>6705.01</v>
      </c>
    </row>
    <row r="407" spans="1:15" x14ac:dyDescent="0.3">
      <c r="A407" t="s">
        <v>452</v>
      </c>
      <c r="B407" s="3">
        <v>45815</v>
      </c>
      <c r="C407" t="s">
        <v>437</v>
      </c>
      <c r="D407" t="s">
        <v>24</v>
      </c>
      <c r="E407" t="s">
        <v>50</v>
      </c>
      <c r="F407" t="s">
        <v>19</v>
      </c>
      <c r="G407" t="s">
        <v>39</v>
      </c>
      <c r="H407" t="s">
        <v>21</v>
      </c>
      <c r="I407">
        <v>6</v>
      </c>
      <c r="J407" s="6">
        <v>837.95</v>
      </c>
      <c r="K407" s="6">
        <v>5027.7</v>
      </c>
      <c r="L407" t="s">
        <v>30</v>
      </c>
      <c r="M407" t="s">
        <v>43</v>
      </c>
      <c r="N407" s="3">
        <v>46008</v>
      </c>
      <c r="O407" s="6">
        <v>5027.7</v>
      </c>
    </row>
    <row r="408" spans="1:15" x14ac:dyDescent="0.3">
      <c r="A408" t="s">
        <v>453</v>
      </c>
      <c r="B408" s="3">
        <v>45815</v>
      </c>
      <c r="C408" t="s">
        <v>437</v>
      </c>
      <c r="D408" t="s">
        <v>49</v>
      </c>
      <c r="E408" t="s">
        <v>25</v>
      </c>
      <c r="F408" t="s">
        <v>19</v>
      </c>
      <c r="G408" t="s">
        <v>20</v>
      </c>
      <c r="H408" t="s">
        <v>34</v>
      </c>
      <c r="I408">
        <v>13</v>
      </c>
      <c r="J408" s="6">
        <v>462.24</v>
      </c>
      <c r="K408" s="6">
        <v>6009.12</v>
      </c>
      <c r="L408" t="s">
        <v>22</v>
      </c>
      <c r="M408" t="s">
        <v>22</v>
      </c>
      <c r="N408" s="3">
        <v>46203</v>
      </c>
      <c r="O408" s="6">
        <v>6009.12</v>
      </c>
    </row>
    <row r="409" spans="1:15" x14ac:dyDescent="0.3">
      <c r="A409" t="s">
        <v>454</v>
      </c>
      <c r="B409" s="3">
        <v>45815</v>
      </c>
      <c r="C409" t="s">
        <v>437</v>
      </c>
      <c r="D409" t="s">
        <v>49</v>
      </c>
      <c r="E409" t="s">
        <v>18</v>
      </c>
      <c r="F409" t="s">
        <v>33</v>
      </c>
      <c r="G409" t="s">
        <v>39</v>
      </c>
      <c r="H409" t="s">
        <v>21</v>
      </c>
      <c r="I409">
        <v>6</v>
      </c>
      <c r="J409" s="6">
        <v>502.54</v>
      </c>
      <c r="K409" s="6">
        <v>3015.24</v>
      </c>
      <c r="L409" t="s">
        <v>30</v>
      </c>
      <c r="M409" t="s">
        <v>36</v>
      </c>
      <c r="N409" s="3">
        <v>46002</v>
      </c>
      <c r="O409" s="6">
        <v>3015.24</v>
      </c>
    </row>
    <row r="410" spans="1:15" x14ac:dyDescent="0.3">
      <c r="A410" t="s">
        <v>455</v>
      </c>
      <c r="B410" s="3">
        <v>45816</v>
      </c>
      <c r="C410" t="s">
        <v>437</v>
      </c>
      <c r="D410" t="s">
        <v>24</v>
      </c>
      <c r="E410" t="s">
        <v>25</v>
      </c>
      <c r="F410" t="s">
        <v>29</v>
      </c>
      <c r="G410" t="s">
        <v>26</v>
      </c>
      <c r="H410" t="s">
        <v>40</v>
      </c>
      <c r="I410">
        <v>13</v>
      </c>
      <c r="J410" s="6">
        <v>819.16</v>
      </c>
      <c r="K410" s="6">
        <v>10649.08</v>
      </c>
      <c r="L410" t="s">
        <v>22</v>
      </c>
      <c r="M410" t="s">
        <v>22</v>
      </c>
      <c r="N410" s="3">
        <v>46203</v>
      </c>
      <c r="O410" s="6">
        <v>10649.08</v>
      </c>
    </row>
    <row r="411" spans="1:15" x14ac:dyDescent="0.3">
      <c r="A411" t="s">
        <v>456</v>
      </c>
      <c r="B411" s="3">
        <v>45816</v>
      </c>
      <c r="C411" t="s">
        <v>437</v>
      </c>
      <c r="D411" t="s">
        <v>49</v>
      </c>
      <c r="E411" t="s">
        <v>50</v>
      </c>
      <c r="F411" t="s">
        <v>33</v>
      </c>
      <c r="G411" t="s">
        <v>39</v>
      </c>
      <c r="H411" t="s">
        <v>21</v>
      </c>
      <c r="I411">
        <v>7</v>
      </c>
      <c r="J411" s="6">
        <v>521.47</v>
      </c>
      <c r="K411" s="6">
        <v>3650.29</v>
      </c>
      <c r="L411" t="s">
        <v>30</v>
      </c>
      <c r="M411" t="s">
        <v>43</v>
      </c>
      <c r="N411" s="3">
        <v>46039</v>
      </c>
      <c r="O411" s="6">
        <v>3650.29</v>
      </c>
    </row>
    <row r="412" spans="1:15" x14ac:dyDescent="0.3">
      <c r="A412" t="s">
        <v>457</v>
      </c>
      <c r="B412" s="3">
        <v>45816</v>
      </c>
      <c r="C412" t="s">
        <v>437</v>
      </c>
      <c r="D412" t="s">
        <v>24</v>
      </c>
      <c r="E412" t="s">
        <v>18</v>
      </c>
      <c r="F412" t="s">
        <v>19</v>
      </c>
      <c r="G412" t="s">
        <v>39</v>
      </c>
      <c r="H412" t="s">
        <v>40</v>
      </c>
      <c r="I412">
        <v>13</v>
      </c>
      <c r="J412" s="6">
        <v>857.2</v>
      </c>
      <c r="K412" s="6">
        <v>11143.6</v>
      </c>
      <c r="L412" t="s">
        <v>22</v>
      </c>
      <c r="M412" t="s">
        <v>22</v>
      </c>
      <c r="N412" s="3">
        <v>46203</v>
      </c>
      <c r="O412" s="6">
        <v>11143.6</v>
      </c>
    </row>
    <row r="413" spans="1:15" x14ac:dyDescent="0.3">
      <c r="A413" t="s">
        <v>458</v>
      </c>
      <c r="B413" s="3">
        <v>45816</v>
      </c>
      <c r="C413" t="s">
        <v>437</v>
      </c>
      <c r="D413" t="s">
        <v>17</v>
      </c>
      <c r="E413" t="s">
        <v>18</v>
      </c>
      <c r="F413" t="s">
        <v>29</v>
      </c>
      <c r="G413" t="s">
        <v>39</v>
      </c>
      <c r="H413" t="s">
        <v>21</v>
      </c>
      <c r="I413">
        <v>13</v>
      </c>
      <c r="J413" s="6">
        <v>1424.43</v>
      </c>
      <c r="K413" s="6">
        <v>18517.59</v>
      </c>
      <c r="L413" t="s">
        <v>22</v>
      </c>
      <c r="M413" t="s">
        <v>22</v>
      </c>
      <c r="N413" s="3">
        <v>46203</v>
      </c>
      <c r="O413" s="6">
        <v>18517.59</v>
      </c>
    </row>
    <row r="414" spans="1:15" x14ac:dyDescent="0.3">
      <c r="A414" t="s">
        <v>459</v>
      </c>
      <c r="B414" s="3">
        <v>45816</v>
      </c>
      <c r="C414" t="s">
        <v>437</v>
      </c>
      <c r="D414" t="s">
        <v>24</v>
      </c>
      <c r="E414" t="s">
        <v>18</v>
      </c>
      <c r="F414" t="s">
        <v>29</v>
      </c>
      <c r="G414" t="s">
        <v>20</v>
      </c>
      <c r="H414" t="s">
        <v>21</v>
      </c>
      <c r="I414">
        <v>13</v>
      </c>
      <c r="J414" s="6">
        <v>966.41</v>
      </c>
      <c r="K414" s="6">
        <v>12563.33</v>
      </c>
      <c r="L414" t="s">
        <v>22</v>
      </c>
      <c r="M414" t="s">
        <v>22</v>
      </c>
      <c r="N414" s="3">
        <v>46203</v>
      </c>
      <c r="O414" s="6">
        <v>12563.33</v>
      </c>
    </row>
    <row r="415" spans="1:15" x14ac:dyDescent="0.3">
      <c r="A415" t="s">
        <v>460</v>
      </c>
      <c r="B415" s="3">
        <v>45816</v>
      </c>
      <c r="C415" t="s">
        <v>437</v>
      </c>
      <c r="D415" t="s">
        <v>17</v>
      </c>
      <c r="E415" t="s">
        <v>50</v>
      </c>
      <c r="F415" t="s">
        <v>29</v>
      </c>
      <c r="G415" t="s">
        <v>39</v>
      </c>
      <c r="H415" t="s">
        <v>21</v>
      </c>
      <c r="I415">
        <v>13</v>
      </c>
      <c r="J415" s="6">
        <v>1435.66</v>
      </c>
      <c r="K415" s="6">
        <v>18663.580000000002</v>
      </c>
      <c r="L415" t="s">
        <v>22</v>
      </c>
      <c r="M415" t="s">
        <v>22</v>
      </c>
      <c r="N415" s="3">
        <v>46203</v>
      </c>
      <c r="O415" s="6">
        <v>18663.580000000002</v>
      </c>
    </row>
    <row r="416" spans="1:15" x14ac:dyDescent="0.3">
      <c r="A416" t="s">
        <v>461</v>
      </c>
      <c r="B416" s="3">
        <v>45816</v>
      </c>
      <c r="C416" t="s">
        <v>437</v>
      </c>
      <c r="D416" t="s">
        <v>24</v>
      </c>
      <c r="E416" t="s">
        <v>28</v>
      </c>
      <c r="F416" t="s">
        <v>51</v>
      </c>
      <c r="G416" t="s">
        <v>20</v>
      </c>
      <c r="H416" t="s">
        <v>45</v>
      </c>
      <c r="I416">
        <v>13</v>
      </c>
      <c r="J416" s="6">
        <v>923.35</v>
      </c>
      <c r="K416" s="6">
        <v>12003.55</v>
      </c>
      <c r="L416" t="s">
        <v>22</v>
      </c>
      <c r="M416" t="s">
        <v>22</v>
      </c>
      <c r="N416" s="3">
        <v>46203</v>
      </c>
      <c r="O416" s="6">
        <v>12003.55</v>
      </c>
    </row>
    <row r="417" spans="1:15" x14ac:dyDescent="0.3">
      <c r="A417" t="s">
        <v>462</v>
      </c>
      <c r="B417" s="3">
        <v>45816</v>
      </c>
      <c r="C417" t="s">
        <v>437</v>
      </c>
      <c r="D417" t="s">
        <v>17</v>
      </c>
      <c r="E417" t="s">
        <v>25</v>
      </c>
      <c r="F417" t="s">
        <v>38</v>
      </c>
      <c r="G417" t="s">
        <v>20</v>
      </c>
      <c r="H417" t="s">
        <v>21</v>
      </c>
      <c r="I417">
        <v>13</v>
      </c>
      <c r="J417" s="6">
        <v>1477.03</v>
      </c>
      <c r="K417" s="6">
        <v>19201.39</v>
      </c>
      <c r="L417" t="s">
        <v>22</v>
      </c>
      <c r="M417" t="s">
        <v>22</v>
      </c>
      <c r="N417" s="3">
        <v>46203</v>
      </c>
      <c r="O417" s="6">
        <v>19201.39</v>
      </c>
    </row>
    <row r="418" spans="1:15" x14ac:dyDescent="0.3">
      <c r="A418" t="s">
        <v>463</v>
      </c>
      <c r="B418" s="3">
        <v>45817</v>
      </c>
      <c r="C418" t="s">
        <v>437</v>
      </c>
      <c r="D418" t="s">
        <v>17</v>
      </c>
      <c r="E418" t="s">
        <v>28</v>
      </c>
      <c r="F418" t="s">
        <v>38</v>
      </c>
      <c r="G418" t="s">
        <v>39</v>
      </c>
      <c r="H418" t="s">
        <v>45</v>
      </c>
      <c r="I418">
        <v>12</v>
      </c>
      <c r="J418" s="6">
        <v>1624.85</v>
      </c>
      <c r="K418" s="6">
        <v>19498.2</v>
      </c>
      <c r="L418" t="s">
        <v>30</v>
      </c>
      <c r="M418" t="s">
        <v>31</v>
      </c>
      <c r="N418" s="3">
        <v>46171</v>
      </c>
      <c r="O418" s="6">
        <v>19498.2</v>
      </c>
    </row>
    <row r="419" spans="1:15" x14ac:dyDescent="0.3">
      <c r="A419" t="s">
        <v>464</v>
      </c>
      <c r="B419" s="3">
        <v>45817</v>
      </c>
      <c r="C419" t="s">
        <v>437</v>
      </c>
      <c r="D419" t="s">
        <v>17</v>
      </c>
      <c r="E419" t="s">
        <v>18</v>
      </c>
      <c r="F419" t="s">
        <v>29</v>
      </c>
      <c r="G419" t="s">
        <v>39</v>
      </c>
      <c r="H419" t="s">
        <v>21</v>
      </c>
      <c r="I419">
        <v>13</v>
      </c>
      <c r="J419" s="6">
        <v>1517.8</v>
      </c>
      <c r="K419" s="6">
        <v>19731.400000000001</v>
      </c>
      <c r="L419" t="s">
        <v>22</v>
      </c>
      <c r="M419" t="s">
        <v>22</v>
      </c>
      <c r="N419" s="3">
        <v>46203</v>
      </c>
      <c r="O419" s="6">
        <v>19731.400000000001</v>
      </c>
    </row>
    <row r="420" spans="1:15" x14ac:dyDescent="0.3">
      <c r="A420" t="s">
        <v>465</v>
      </c>
      <c r="B420" s="3">
        <v>45817</v>
      </c>
      <c r="C420" t="s">
        <v>437</v>
      </c>
      <c r="D420" t="s">
        <v>24</v>
      </c>
      <c r="E420" t="s">
        <v>25</v>
      </c>
      <c r="F420" t="s">
        <v>38</v>
      </c>
      <c r="G420" t="s">
        <v>20</v>
      </c>
      <c r="H420" t="s">
        <v>34</v>
      </c>
      <c r="I420">
        <v>13</v>
      </c>
      <c r="J420" s="6">
        <v>878.24</v>
      </c>
      <c r="K420" s="6">
        <v>11417.12</v>
      </c>
      <c r="L420" t="s">
        <v>22</v>
      </c>
      <c r="M420" t="s">
        <v>22</v>
      </c>
      <c r="N420" s="3">
        <v>46203</v>
      </c>
      <c r="O420" s="6">
        <v>11417.12</v>
      </c>
    </row>
    <row r="421" spans="1:15" x14ac:dyDescent="0.3">
      <c r="A421" t="s">
        <v>466</v>
      </c>
      <c r="B421" s="3">
        <v>45818</v>
      </c>
      <c r="C421" t="s">
        <v>437</v>
      </c>
      <c r="D421" t="s">
        <v>24</v>
      </c>
      <c r="E421" t="s">
        <v>25</v>
      </c>
      <c r="F421" t="s">
        <v>38</v>
      </c>
      <c r="G421" t="s">
        <v>20</v>
      </c>
      <c r="H421" t="s">
        <v>21</v>
      </c>
      <c r="I421">
        <v>13</v>
      </c>
      <c r="J421" s="6">
        <v>888.74</v>
      </c>
      <c r="K421" s="6">
        <v>11553.62</v>
      </c>
      <c r="L421" t="s">
        <v>22</v>
      </c>
      <c r="M421" t="s">
        <v>22</v>
      </c>
      <c r="N421" s="3">
        <v>46203</v>
      </c>
      <c r="O421" s="6">
        <v>11553.62</v>
      </c>
    </row>
    <row r="422" spans="1:15" x14ac:dyDescent="0.3">
      <c r="A422" t="s">
        <v>467</v>
      </c>
      <c r="B422" s="3">
        <v>45818</v>
      </c>
      <c r="C422" t="s">
        <v>437</v>
      </c>
      <c r="D422" t="s">
        <v>49</v>
      </c>
      <c r="E422" t="s">
        <v>25</v>
      </c>
      <c r="F422" t="s">
        <v>29</v>
      </c>
      <c r="G422" t="s">
        <v>20</v>
      </c>
      <c r="H422" t="s">
        <v>40</v>
      </c>
      <c r="I422">
        <v>12</v>
      </c>
      <c r="J422" s="6">
        <v>539.64</v>
      </c>
      <c r="K422" s="6">
        <v>6475.68</v>
      </c>
      <c r="L422" t="s">
        <v>30</v>
      </c>
      <c r="M422" t="s">
        <v>31</v>
      </c>
      <c r="N422" s="3">
        <v>46198</v>
      </c>
      <c r="O422" s="6">
        <v>6475.68</v>
      </c>
    </row>
    <row r="423" spans="1:15" x14ac:dyDescent="0.3">
      <c r="A423" t="s">
        <v>468</v>
      </c>
      <c r="B423" s="3">
        <v>45818</v>
      </c>
      <c r="C423" t="s">
        <v>437</v>
      </c>
      <c r="D423" t="s">
        <v>24</v>
      </c>
      <c r="E423" t="s">
        <v>28</v>
      </c>
      <c r="F423" t="s">
        <v>38</v>
      </c>
      <c r="G423" t="s">
        <v>20</v>
      </c>
      <c r="H423" t="s">
        <v>40</v>
      </c>
      <c r="I423">
        <v>13</v>
      </c>
      <c r="J423" s="6">
        <v>921.66</v>
      </c>
      <c r="K423" s="6">
        <v>11981.58</v>
      </c>
      <c r="L423" t="s">
        <v>22</v>
      </c>
      <c r="M423" t="s">
        <v>22</v>
      </c>
      <c r="N423" s="3">
        <v>46203</v>
      </c>
      <c r="O423" s="6">
        <v>11981.58</v>
      </c>
    </row>
    <row r="424" spans="1:15" x14ac:dyDescent="0.3">
      <c r="A424" t="s">
        <v>469</v>
      </c>
      <c r="B424" s="3">
        <v>45819</v>
      </c>
      <c r="C424" t="s">
        <v>437</v>
      </c>
      <c r="D424" t="s">
        <v>49</v>
      </c>
      <c r="E424" t="s">
        <v>18</v>
      </c>
      <c r="F424" t="s">
        <v>33</v>
      </c>
      <c r="G424" t="s">
        <v>39</v>
      </c>
      <c r="H424" t="s">
        <v>34</v>
      </c>
      <c r="I424">
        <v>3</v>
      </c>
      <c r="J424" s="6">
        <v>508.89</v>
      </c>
      <c r="K424" s="6">
        <v>1526.67</v>
      </c>
      <c r="L424" t="s">
        <v>30</v>
      </c>
      <c r="M424" t="s">
        <v>31</v>
      </c>
      <c r="N424" s="3">
        <v>45901</v>
      </c>
      <c r="O424" s="6">
        <v>1526.67</v>
      </c>
    </row>
    <row r="425" spans="1:15" x14ac:dyDescent="0.3">
      <c r="A425" t="s">
        <v>470</v>
      </c>
      <c r="B425" s="3">
        <v>45819</v>
      </c>
      <c r="C425" t="s">
        <v>437</v>
      </c>
      <c r="D425" t="s">
        <v>24</v>
      </c>
      <c r="E425" t="s">
        <v>18</v>
      </c>
      <c r="F425" t="s">
        <v>33</v>
      </c>
      <c r="G425" t="s">
        <v>20</v>
      </c>
      <c r="H425" t="s">
        <v>21</v>
      </c>
      <c r="I425">
        <v>13</v>
      </c>
      <c r="J425" s="6">
        <v>982.63</v>
      </c>
      <c r="K425" s="6">
        <v>12774.19</v>
      </c>
      <c r="L425" t="s">
        <v>22</v>
      </c>
      <c r="M425" t="s">
        <v>22</v>
      </c>
      <c r="N425" s="3">
        <v>46203</v>
      </c>
      <c r="O425" s="6">
        <v>12774.19</v>
      </c>
    </row>
    <row r="426" spans="1:15" x14ac:dyDescent="0.3">
      <c r="A426" t="s">
        <v>471</v>
      </c>
      <c r="B426" s="3">
        <v>45819</v>
      </c>
      <c r="C426" t="s">
        <v>437</v>
      </c>
      <c r="D426" t="s">
        <v>17</v>
      </c>
      <c r="E426" t="s">
        <v>25</v>
      </c>
      <c r="F426" t="s">
        <v>29</v>
      </c>
      <c r="G426" t="s">
        <v>39</v>
      </c>
      <c r="H426" t="s">
        <v>45</v>
      </c>
      <c r="I426">
        <v>13</v>
      </c>
      <c r="J426" s="6">
        <v>1422.12</v>
      </c>
      <c r="K426" s="6">
        <v>18487.560000000001</v>
      </c>
      <c r="L426" t="s">
        <v>22</v>
      </c>
      <c r="M426" t="s">
        <v>22</v>
      </c>
      <c r="N426" s="3">
        <v>46203</v>
      </c>
      <c r="O426" s="6">
        <v>18487.560000000001</v>
      </c>
    </row>
    <row r="427" spans="1:15" x14ac:dyDescent="0.3">
      <c r="A427" t="s">
        <v>472</v>
      </c>
      <c r="B427" s="3">
        <v>45819</v>
      </c>
      <c r="C427" t="s">
        <v>437</v>
      </c>
      <c r="D427" t="s">
        <v>49</v>
      </c>
      <c r="E427" t="s">
        <v>25</v>
      </c>
      <c r="F427" t="s">
        <v>19</v>
      </c>
      <c r="G427" t="s">
        <v>39</v>
      </c>
      <c r="H427" t="s">
        <v>40</v>
      </c>
      <c r="I427">
        <v>2</v>
      </c>
      <c r="J427" s="6">
        <v>529.99</v>
      </c>
      <c r="K427" s="6">
        <v>1059.98</v>
      </c>
      <c r="L427" t="s">
        <v>30</v>
      </c>
      <c r="M427" t="s">
        <v>43</v>
      </c>
      <c r="N427" s="3">
        <v>45871</v>
      </c>
      <c r="O427" s="6">
        <v>1059.98</v>
      </c>
    </row>
    <row r="428" spans="1:15" x14ac:dyDescent="0.3">
      <c r="A428" t="s">
        <v>473</v>
      </c>
      <c r="B428" s="3">
        <v>45820</v>
      </c>
      <c r="C428" t="s">
        <v>437</v>
      </c>
      <c r="D428" t="s">
        <v>49</v>
      </c>
      <c r="E428" t="s">
        <v>25</v>
      </c>
      <c r="F428" t="s">
        <v>33</v>
      </c>
      <c r="G428" t="s">
        <v>39</v>
      </c>
      <c r="H428" t="s">
        <v>45</v>
      </c>
      <c r="I428">
        <v>2</v>
      </c>
      <c r="J428" s="6">
        <v>511.26</v>
      </c>
      <c r="K428" s="6">
        <v>1022.52</v>
      </c>
      <c r="L428" t="s">
        <v>30</v>
      </c>
      <c r="M428" t="s">
        <v>36</v>
      </c>
      <c r="N428" s="3">
        <v>45875</v>
      </c>
      <c r="O428" s="6">
        <v>1022.52</v>
      </c>
    </row>
    <row r="429" spans="1:15" x14ac:dyDescent="0.3">
      <c r="A429" t="s">
        <v>474</v>
      </c>
      <c r="B429" s="3">
        <v>45820</v>
      </c>
      <c r="C429" t="s">
        <v>437</v>
      </c>
      <c r="D429" t="s">
        <v>49</v>
      </c>
      <c r="E429" t="s">
        <v>25</v>
      </c>
      <c r="F429" t="s">
        <v>38</v>
      </c>
      <c r="G429" t="s">
        <v>39</v>
      </c>
      <c r="H429" t="s">
        <v>21</v>
      </c>
      <c r="I429">
        <v>13</v>
      </c>
      <c r="J429" s="6">
        <v>450.62</v>
      </c>
      <c r="K429" s="6">
        <v>5858.06</v>
      </c>
      <c r="L429" t="s">
        <v>22</v>
      </c>
      <c r="M429" t="s">
        <v>22</v>
      </c>
      <c r="N429" s="3">
        <v>46203</v>
      </c>
      <c r="O429" s="6">
        <v>5858.06</v>
      </c>
    </row>
    <row r="430" spans="1:15" x14ac:dyDescent="0.3">
      <c r="A430" t="s">
        <v>475</v>
      </c>
      <c r="B430" s="3">
        <v>45820</v>
      </c>
      <c r="C430" t="s">
        <v>437</v>
      </c>
      <c r="D430" t="s">
        <v>49</v>
      </c>
      <c r="E430" t="s">
        <v>25</v>
      </c>
      <c r="F430" t="s">
        <v>33</v>
      </c>
      <c r="G430" t="s">
        <v>39</v>
      </c>
      <c r="H430" t="s">
        <v>34</v>
      </c>
      <c r="I430">
        <v>13</v>
      </c>
      <c r="J430" s="6">
        <v>504.33</v>
      </c>
      <c r="K430" s="6">
        <v>6556.29</v>
      </c>
      <c r="L430" t="s">
        <v>22</v>
      </c>
      <c r="M430" t="s">
        <v>22</v>
      </c>
      <c r="N430" s="3">
        <v>46203</v>
      </c>
      <c r="O430" s="6">
        <v>6556.29</v>
      </c>
    </row>
    <row r="431" spans="1:15" x14ac:dyDescent="0.3">
      <c r="A431" t="s">
        <v>476</v>
      </c>
      <c r="B431" s="3">
        <v>45820</v>
      </c>
      <c r="C431" t="s">
        <v>437</v>
      </c>
      <c r="D431" t="s">
        <v>24</v>
      </c>
      <c r="E431" t="s">
        <v>18</v>
      </c>
      <c r="F431" t="s">
        <v>19</v>
      </c>
      <c r="G431" t="s">
        <v>39</v>
      </c>
      <c r="H431" t="s">
        <v>34</v>
      </c>
      <c r="I431">
        <v>13</v>
      </c>
      <c r="J431" s="6">
        <v>929.47</v>
      </c>
      <c r="K431" s="6">
        <v>12083.11</v>
      </c>
      <c r="L431" t="s">
        <v>22</v>
      </c>
      <c r="M431" t="s">
        <v>22</v>
      </c>
      <c r="N431" s="3">
        <v>46203</v>
      </c>
      <c r="O431" s="6">
        <v>12083.11</v>
      </c>
    </row>
    <row r="432" spans="1:15" x14ac:dyDescent="0.3">
      <c r="A432" t="s">
        <v>477</v>
      </c>
      <c r="B432" s="3">
        <v>45820</v>
      </c>
      <c r="C432" t="s">
        <v>437</v>
      </c>
      <c r="D432" t="s">
        <v>24</v>
      </c>
      <c r="E432" t="s">
        <v>25</v>
      </c>
      <c r="F432" t="s">
        <v>51</v>
      </c>
      <c r="G432" t="s">
        <v>39</v>
      </c>
      <c r="H432" t="s">
        <v>45</v>
      </c>
      <c r="I432">
        <v>7</v>
      </c>
      <c r="J432" s="6">
        <v>983.79</v>
      </c>
      <c r="K432" s="6">
        <v>6886.53</v>
      </c>
      <c r="L432" t="s">
        <v>30</v>
      </c>
      <c r="M432" t="s">
        <v>36</v>
      </c>
      <c r="N432" s="3">
        <v>46042</v>
      </c>
      <c r="O432" s="6">
        <v>6886.53</v>
      </c>
    </row>
    <row r="433" spans="1:15" x14ac:dyDescent="0.3">
      <c r="A433" t="s">
        <v>478</v>
      </c>
      <c r="B433" s="3">
        <v>45821</v>
      </c>
      <c r="C433" t="s">
        <v>437</v>
      </c>
      <c r="D433" t="s">
        <v>24</v>
      </c>
      <c r="E433" t="s">
        <v>18</v>
      </c>
      <c r="F433" t="s">
        <v>33</v>
      </c>
      <c r="G433" t="s">
        <v>26</v>
      </c>
      <c r="H433" t="s">
        <v>40</v>
      </c>
      <c r="I433">
        <v>13</v>
      </c>
      <c r="J433" s="6">
        <v>826.78</v>
      </c>
      <c r="K433" s="6">
        <v>10748.14</v>
      </c>
      <c r="L433" t="s">
        <v>22</v>
      </c>
      <c r="M433" t="s">
        <v>22</v>
      </c>
      <c r="N433" s="3">
        <v>46203</v>
      </c>
      <c r="O433" s="6">
        <v>10748.14</v>
      </c>
    </row>
    <row r="434" spans="1:15" x14ac:dyDescent="0.3">
      <c r="A434" t="s">
        <v>479</v>
      </c>
      <c r="B434" s="3">
        <v>45821</v>
      </c>
      <c r="C434" t="s">
        <v>437</v>
      </c>
      <c r="D434" t="s">
        <v>24</v>
      </c>
      <c r="E434" t="s">
        <v>25</v>
      </c>
      <c r="F434" t="s">
        <v>51</v>
      </c>
      <c r="G434" t="s">
        <v>39</v>
      </c>
      <c r="H434" t="s">
        <v>34</v>
      </c>
      <c r="I434">
        <v>13</v>
      </c>
      <c r="J434" s="6">
        <v>927.51</v>
      </c>
      <c r="K434" s="6">
        <v>12057.63</v>
      </c>
      <c r="L434" t="s">
        <v>22</v>
      </c>
      <c r="M434" t="s">
        <v>22</v>
      </c>
      <c r="N434" s="3">
        <v>46203</v>
      </c>
      <c r="O434" s="6">
        <v>12057.63</v>
      </c>
    </row>
    <row r="435" spans="1:15" x14ac:dyDescent="0.3">
      <c r="A435" t="s">
        <v>480</v>
      </c>
      <c r="B435" s="3">
        <v>45821</v>
      </c>
      <c r="C435" t="s">
        <v>437</v>
      </c>
      <c r="D435" t="s">
        <v>49</v>
      </c>
      <c r="E435" t="s">
        <v>50</v>
      </c>
      <c r="F435" t="s">
        <v>29</v>
      </c>
      <c r="G435" t="s">
        <v>39</v>
      </c>
      <c r="H435" t="s">
        <v>40</v>
      </c>
      <c r="I435">
        <v>13</v>
      </c>
      <c r="J435" s="6">
        <v>484.87</v>
      </c>
      <c r="K435" s="6">
        <v>6303.31</v>
      </c>
      <c r="L435" t="s">
        <v>22</v>
      </c>
      <c r="M435" t="s">
        <v>22</v>
      </c>
      <c r="N435" s="3">
        <v>46203</v>
      </c>
      <c r="O435" s="6">
        <v>6303.31</v>
      </c>
    </row>
    <row r="436" spans="1:15" x14ac:dyDescent="0.3">
      <c r="A436" t="s">
        <v>481</v>
      </c>
      <c r="B436" s="3">
        <v>45822</v>
      </c>
      <c r="C436" t="s">
        <v>437</v>
      </c>
      <c r="D436" t="s">
        <v>24</v>
      </c>
      <c r="E436" t="s">
        <v>25</v>
      </c>
      <c r="F436" t="s">
        <v>19</v>
      </c>
      <c r="G436" t="s">
        <v>39</v>
      </c>
      <c r="H436" t="s">
        <v>34</v>
      </c>
      <c r="I436">
        <v>13</v>
      </c>
      <c r="J436" s="6">
        <v>870.8</v>
      </c>
      <c r="K436" s="6">
        <v>11320.4</v>
      </c>
      <c r="L436" t="s">
        <v>22</v>
      </c>
      <c r="M436" t="s">
        <v>22</v>
      </c>
      <c r="N436" s="3">
        <v>46203</v>
      </c>
      <c r="O436" s="6">
        <v>11320.4</v>
      </c>
    </row>
    <row r="437" spans="1:15" x14ac:dyDescent="0.3">
      <c r="A437" t="s">
        <v>482</v>
      </c>
      <c r="B437" s="3">
        <v>45822</v>
      </c>
      <c r="C437" t="s">
        <v>437</v>
      </c>
      <c r="D437" t="s">
        <v>17</v>
      </c>
      <c r="E437" t="s">
        <v>50</v>
      </c>
      <c r="F437" t="s">
        <v>33</v>
      </c>
      <c r="G437" t="s">
        <v>20</v>
      </c>
      <c r="H437" t="s">
        <v>45</v>
      </c>
      <c r="I437">
        <v>13</v>
      </c>
      <c r="J437" s="6">
        <v>1554.78</v>
      </c>
      <c r="K437" s="6">
        <v>20212.14</v>
      </c>
      <c r="L437" t="s">
        <v>22</v>
      </c>
      <c r="M437" t="s">
        <v>22</v>
      </c>
      <c r="N437" s="3">
        <v>46203</v>
      </c>
      <c r="O437" s="6">
        <v>20212.14</v>
      </c>
    </row>
    <row r="438" spans="1:15" x14ac:dyDescent="0.3">
      <c r="A438" t="s">
        <v>483</v>
      </c>
      <c r="B438" s="3">
        <v>45822</v>
      </c>
      <c r="C438" t="s">
        <v>437</v>
      </c>
      <c r="D438" t="s">
        <v>17</v>
      </c>
      <c r="E438" t="s">
        <v>25</v>
      </c>
      <c r="F438" t="s">
        <v>29</v>
      </c>
      <c r="G438" t="s">
        <v>20</v>
      </c>
      <c r="H438" t="s">
        <v>21</v>
      </c>
      <c r="I438">
        <v>13</v>
      </c>
      <c r="J438" s="6">
        <v>1520.04</v>
      </c>
      <c r="K438" s="6">
        <v>19760.52</v>
      </c>
      <c r="L438" t="s">
        <v>22</v>
      </c>
      <c r="M438" t="s">
        <v>22</v>
      </c>
      <c r="N438" s="3">
        <v>46203</v>
      </c>
      <c r="O438" s="6">
        <v>19760.52</v>
      </c>
    </row>
    <row r="439" spans="1:15" x14ac:dyDescent="0.3">
      <c r="A439" t="s">
        <v>484</v>
      </c>
      <c r="B439" s="3">
        <v>45823</v>
      </c>
      <c r="C439" t="s">
        <v>437</v>
      </c>
      <c r="D439" t="s">
        <v>24</v>
      </c>
      <c r="E439" t="s">
        <v>50</v>
      </c>
      <c r="F439" t="s">
        <v>38</v>
      </c>
      <c r="G439" t="s">
        <v>39</v>
      </c>
      <c r="H439" t="s">
        <v>40</v>
      </c>
      <c r="I439">
        <v>12</v>
      </c>
      <c r="J439" s="6">
        <v>898.76</v>
      </c>
      <c r="K439" s="6">
        <v>10785.12</v>
      </c>
      <c r="L439" t="s">
        <v>22</v>
      </c>
      <c r="M439" t="s">
        <v>22</v>
      </c>
      <c r="N439" s="3">
        <v>46203</v>
      </c>
      <c r="O439" s="6">
        <v>10785.12</v>
      </c>
    </row>
    <row r="440" spans="1:15" x14ac:dyDescent="0.3">
      <c r="A440" t="s">
        <v>485</v>
      </c>
      <c r="B440" s="3">
        <v>45823</v>
      </c>
      <c r="C440" t="s">
        <v>437</v>
      </c>
      <c r="D440" t="s">
        <v>24</v>
      </c>
      <c r="E440" t="s">
        <v>18</v>
      </c>
      <c r="F440" t="s">
        <v>33</v>
      </c>
      <c r="G440" t="s">
        <v>39</v>
      </c>
      <c r="H440" t="s">
        <v>21</v>
      </c>
      <c r="I440">
        <v>12</v>
      </c>
      <c r="J440" s="6">
        <v>900.66</v>
      </c>
      <c r="K440" s="6">
        <v>10807.92</v>
      </c>
      <c r="L440" t="s">
        <v>22</v>
      </c>
      <c r="M440" t="s">
        <v>22</v>
      </c>
      <c r="N440" s="3">
        <v>46203</v>
      </c>
      <c r="O440" s="6">
        <v>10807.92</v>
      </c>
    </row>
    <row r="441" spans="1:15" x14ac:dyDescent="0.3">
      <c r="A441" t="s">
        <v>486</v>
      </c>
      <c r="B441" s="3">
        <v>45823</v>
      </c>
      <c r="C441" t="s">
        <v>437</v>
      </c>
      <c r="D441" t="s">
        <v>24</v>
      </c>
      <c r="E441" t="s">
        <v>18</v>
      </c>
      <c r="F441" t="s">
        <v>38</v>
      </c>
      <c r="G441" t="s">
        <v>39</v>
      </c>
      <c r="H441" t="s">
        <v>40</v>
      </c>
      <c r="I441">
        <v>12</v>
      </c>
      <c r="J441" s="6">
        <v>976.05</v>
      </c>
      <c r="K441" s="6">
        <v>11712.6</v>
      </c>
      <c r="L441" t="s">
        <v>22</v>
      </c>
      <c r="M441" t="s">
        <v>22</v>
      </c>
      <c r="N441" s="3">
        <v>46203</v>
      </c>
      <c r="O441" s="6">
        <v>11712.6</v>
      </c>
    </row>
    <row r="442" spans="1:15" x14ac:dyDescent="0.3">
      <c r="A442" t="s">
        <v>487</v>
      </c>
      <c r="B442" s="3">
        <v>45824</v>
      </c>
      <c r="C442" t="s">
        <v>437</v>
      </c>
      <c r="D442" t="s">
        <v>49</v>
      </c>
      <c r="E442" t="s">
        <v>50</v>
      </c>
      <c r="F442" t="s">
        <v>19</v>
      </c>
      <c r="G442" t="s">
        <v>39</v>
      </c>
      <c r="H442" t="s">
        <v>45</v>
      </c>
      <c r="I442">
        <v>6</v>
      </c>
      <c r="J442" s="6">
        <v>540.15</v>
      </c>
      <c r="K442" s="6">
        <v>3240.9</v>
      </c>
      <c r="L442" t="s">
        <v>30</v>
      </c>
      <c r="M442" t="s">
        <v>31</v>
      </c>
      <c r="N442" s="3">
        <v>45996</v>
      </c>
      <c r="O442" s="6">
        <v>3240.9</v>
      </c>
    </row>
    <row r="443" spans="1:15" x14ac:dyDescent="0.3">
      <c r="A443" t="s">
        <v>488</v>
      </c>
      <c r="B443" s="3">
        <v>45824</v>
      </c>
      <c r="C443" t="s">
        <v>437</v>
      </c>
      <c r="D443" t="s">
        <v>24</v>
      </c>
      <c r="E443" t="s">
        <v>25</v>
      </c>
      <c r="F443" t="s">
        <v>38</v>
      </c>
      <c r="G443" t="s">
        <v>39</v>
      </c>
      <c r="H443" t="s">
        <v>40</v>
      </c>
      <c r="I443">
        <v>12</v>
      </c>
      <c r="J443" s="6">
        <v>820.67</v>
      </c>
      <c r="K443" s="6">
        <v>9848.0400000000009</v>
      </c>
      <c r="L443" t="s">
        <v>22</v>
      </c>
      <c r="M443" t="s">
        <v>22</v>
      </c>
      <c r="N443" s="3">
        <v>46203</v>
      </c>
      <c r="O443" s="6">
        <v>9848.0400000000009</v>
      </c>
    </row>
    <row r="444" spans="1:15" x14ac:dyDescent="0.3">
      <c r="A444" t="s">
        <v>489</v>
      </c>
      <c r="B444" s="3">
        <v>45824</v>
      </c>
      <c r="C444" t="s">
        <v>437</v>
      </c>
      <c r="D444" t="s">
        <v>49</v>
      </c>
      <c r="E444" t="s">
        <v>28</v>
      </c>
      <c r="F444" t="s">
        <v>19</v>
      </c>
      <c r="G444" t="s">
        <v>39</v>
      </c>
      <c r="H444" t="s">
        <v>21</v>
      </c>
      <c r="I444">
        <v>12</v>
      </c>
      <c r="J444" s="6">
        <v>502.62</v>
      </c>
      <c r="K444" s="6">
        <v>6031.44</v>
      </c>
      <c r="L444" t="s">
        <v>22</v>
      </c>
      <c r="M444" t="s">
        <v>22</v>
      </c>
      <c r="N444" s="3">
        <v>46203</v>
      </c>
      <c r="O444" s="6">
        <v>6031.44</v>
      </c>
    </row>
    <row r="445" spans="1:15" x14ac:dyDescent="0.3">
      <c r="A445" t="s">
        <v>490</v>
      </c>
      <c r="B445" s="3">
        <v>45824</v>
      </c>
      <c r="C445" t="s">
        <v>437</v>
      </c>
      <c r="D445" t="s">
        <v>49</v>
      </c>
      <c r="E445" t="s">
        <v>28</v>
      </c>
      <c r="F445" t="s">
        <v>51</v>
      </c>
      <c r="G445" t="s">
        <v>39</v>
      </c>
      <c r="H445" t="s">
        <v>21</v>
      </c>
      <c r="I445">
        <v>11</v>
      </c>
      <c r="J445" s="6">
        <v>537.04</v>
      </c>
      <c r="K445" s="6">
        <v>5907.44</v>
      </c>
      <c r="L445" t="s">
        <v>30</v>
      </c>
      <c r="M445" t="s">
        <v>36</v>
      </c>
      <c r="N445" s="3">
        <v>46160</v>
      </c>
      <c r="O445" s="6">
        <v>5907.44</v>
      </c>
    </row>
    <row r="446" spans="1:15" x14ac:dyDescent="0.3">
      <c r="A446" t="s">
        <v>491</v>
      </c>
      <c r="B446" s="3">
        <v>45825</v>
      </c>
      <c r="C446" t="s">
        <v>437</v>
      </c>
      <c r="D446" t="s">
        <v>49</v>
      </c>
      <c r="E446" t="s">
        <v>25</v>
      </c>
      <c r="F446" t="s">
        <v>19</v>
      </c>
      <c r="G446" t="s">
        <v>39</v>
      </c>
      <c r="H446" t="s">
        <v>21</v>
      </c>
      <c r="I446">
        <v>9</v>
      </c>
      <c r="J446" s="6">
        <v>513.41</v>
      </c>
      <c r="K446" s="6">
        <v>4620.6899999999996</v>
      </c>
      <c r="L446" t="s">
        <v>30</v>
      </c>
      <c r="M446" t="s">
        <v>80</v>
      </c>
      <c r="N446" s="3">
        <v>46091</v>
      </c>
      <c r="O446" s="6">
        <v>4620.6899999999996</v>
      </c>
    </row>
    <row r="447" spans="1:15" x14ac:dyDescent="0.3">
      <c r="A447" t="s">
        <v>492</v>
      </c>
      <c r="B447" s="3">
        <v>45825</v>
      </c>
      <c r="C447" t="s">
        <v>437</v>
      </c>
      <c r="D447" t="s">
        <v>24</v>
      </c>
      <c r="E447" t="s">
        <v>25</v>
      </c>
      <c r="F447" t="s">
        <v>29</v>
      </c>
      <c r="G447" t="s">
        <v>20</v>
      </c>
      <c r="H447" t="s">
        <v>40</v>
      </c>
      <c r="I447">
        <v>12</v>
      </c>
      <c r="J447" s="6">
        <v>837.42</v>
      </c>
      <c r="K447" s="6">
        <v>10049.040000000001</v>
      </c>
      <c r="L447" t="s">
        <v>22</v>
      </c>
      <c r="M447" t="s">
        <v>22</v>
      </c>
      <c r="N447" s="3">
        <v>46203</v>
      </c>
      <c r="O447" s="6">
        <v>10049.040000000001</v>
      </c>
    </row>
    <row r="448" spans="1:15" x14ac:dyDescent="0.3">
      <c r="A448" t="s">
        <v>493</v>
      </c>
      <c r="B448" s="3">
        <v>45825</v>
      </c>
      <c r="C448" t="s">
        <v>437</v>
      </c>
      <c r="D448" t="s">
        <v>17</v>
      </c>
      <c r="E448" t="s">
        <v>25</v>
      </c>
      <c r="F448" t="s">
        <v>38</v>
      </c>
      <c r="G448" t="s">
        <v>20</v>
      </c>
      <c r="H448" t="s">
        <v>40</v>
      </c>
      <c r="I448">
        <v>5</v>
      </c>
      <c r="J448" s="6">
        <v>1544.48</v>
      </c>
      <c r="K448" s="6">
        <v>7722.4</v>
      </c>
      <c r="L448" t="s">
        <v>30</v>
      </c>
      <c r="M448" t="s">
        <v>31</v>
      </c>
      <c r="N448" s="3">
        <v>45962</v>
      </c>
      <c r="O448" s="6">
        <v>7722.4</v>
      </c>
    </row>
    <row r="449" spans="1:15" x14ac:dyDescent="0.3">
      <c r="A449" t="s">
        <v>494</v>
      </c>
      <c r="B449" s="3">
        <v>45825</v>
      </c>
      <c r="C449" t="s">
        <v>437</v>
      </c>
      <c r="D449" t="s">
        <v>24</v>
      </c>
      <c r="E449" t="s">
        <v>25</v>
      </c>
      <c r="F449" t="s">
        <v>19</v>
      </c>
      <c r="G449" t="s">
        <v>39</v>
      </c>
      <c r="H449" t="s">
        <v>21</v>
      </c>
      <c r="I449">
        <v>12</v>
      </c>
      <c r="J449" s="6">
        <v>907.89</v>
      </c>
      <c r="K449" s="6">
        <v>10894.68</v>
      </c>
      <c r="L449" t="s">
        <v>22</v>
      </c>
      <c r="M449" t="s">
        <v>22</v>
      </c>
      <c r="N449" s="3">
        <v>46203</v>
      </c>
      <c r="O449" s="6">
        <v>10894.68</v>
      </c>
    </row>
    <row r="450" spans="1:15" x14ac:dyDescent="0.3">
      <c r="A450" t="s">
        <v>495</v>
      </c>
      <c r="B450" s="3">
        <v>45825</v>
      </c>
      <c r="C450" t="s">
        <v>437</v>
      </c>
      <c r="D450" t="s">
        <v>49</v>
      </c>
      <c r="E450" t="s">
        <v>18</v>
      </c>
      <c r="F450" t="s">
        <v>38</v>
      </c>
      <c r="G450" t="s">
        <v>39</v>
      </c>
      <c r="H450" t="s">
        <v>40</v>
      </c>
      <c r="I450">
        <v>12</v>
      </c>
      <c r="J450" s="6">
        <v>468.53</v>
      </c>
      <c r="K450" s="6">
        <v>5622.36</v>
      </c>
      <c r="L450" t="s">
        <v>22</v>
      </c>
      <c r="M450" t="s">
        <v>22</v>
      </c>
      <c r="N450" s="3">
        <v>46203</v>
      </c>
      <c r="O450" s="6">
        <v>5622.36</v>
      </c>
    </row>
    <row r="451" spans="1:15" x14ac:dyDescent="0.3">
      <c r="A451" t="s">
        <v>496</v>
      </c>
      <c r="B451" s="3">
        <v>45826</v>
      </c>
      <c r="C451" t="s">
        <v>437</v>
      </c>
      <c r="D451" t="s">
        <v>24</v>
      </c>
      <c r="E451" t="s">
        <v>25</v>
      </c>
      <c r="F451" t="s">
        <v>38</v>
      </c>
      <c r="G451" t="s">
        <v>39</v>
      </c>
      <c r="H451" t="s">
        <v>45</v>
      </c>
      <c r="I451">
        <v>12</v>
      </c>
      <c r="J451" s="6">
        <v>948.14</v>
      </c>
      <c r="K451" s="6">
        <v>11377.68</v>
      </c>
      <c r="L451" t="s">
        <v>22</v>
      </c>
      <c r="M451" t="s">
        <v>22</v>
      </c>
      <c r="N451" s="3">
        <v>46203</v>
      </c>
      <c r="O451" s="6">
        <v>11377.68</v>
      </c>
    </row>
    <row r="452" spans="1:15" x14ac:dyDescent="0.3">
      <c r="A452" t="s">
        <v>497</v>
      </c>
      <c r="B452" s="3">
        <v>45826</v>
      </c>
      <c r="C452" t="s">
        <v>437</v>
      </c>
      <c r="D452" t="s">
        <v>24</v>
      </c>
      <c r="E452" t="s">
        <v>28</v>
      </c>
      <c r="F452" t="s">
        <v>29</v>
      </c>
      <c r="G452" t="s">
        <v>20</v>
      </c>
      <c r="H452" t="s">
        <v>40</v>
      </c>
      <c r="I452">
        <v>12</v>
      </c>
      <c r="J452" s="6">
        <v>877.9</v>
      </c>
      <c r="K452" s="6">
        <v>10534.8</v>
      </c>
      <c r="L452" t="s">
        <v>22</v>
      </c>
      <c r="M452" t="s">
        <v>22</v>
      </c>
      <c r="N452" s="3">
        <v>46203</v>
      </c>
      <c r="O452" s="6">
        <v>10534.8</v>
      </c>
    </row>
    <row r="453" spans="1:15" x14ac:dyDescent="0.3">
      <c r="A453" t="s">
        <v>498</v>
      </c>
      <c r="B453" s="3">
        <v>45826</v>
      </c>
      <c r="C453" t="s">
        <v>437</v>
      </c>
      <c r="D453" t="s">
        <v>17</v>
      </c>
      <c r="E453" t="s">
        <v>28</v>
      </c>
      <c r="F453" t="s">
        <v>33</v>
      </c>
      <c r="G453" t="s">
        <v>39</v>
      </c>
      <c r="H453" t="s">
        <v>45</v>
      </c>
      <c r="I453">
        <v>12</v>
      </c>
      <c r="J453" s="6">
        <v>1605.23</v>
      </c>
      <c r="K453" s="6">
        <v>19262.759999999998</v>
      </c>
      <c r="L453" t="s">
        <v>30</v>
      </c>
      <c r="M453" t="s">
        <v>31</v>
      </c>
      <c r="N453" s="3">
        <v>46192</v>
      </c>
      <c r="O453" s="6">
        <v>19262.759999999998</v>
      </c>
    </row>
    <row r="454" spans="1:15" x14ac:dyDescent="0.3">
      <c r="A454" t="s">
        <v>499</v>
      </c>
      <c r="B454" s="3">
        <v>45826</v>
      </c>
      <c r="C454" t="s">
        <v>437</v>
      </c>
      <c r="D454" t="s">
        <v>24</v>
      </c>
      <c r="E454" t="s">
        <v>50</v>
      </c>
      <c r="F454" t="s">
        <v>19</v>
      </c>
      <c r="G454" t="s">
        <v>20</v>
      </c>
      <c r="H454" t="s">
        <v>21</v>
      </c>
      <c r="I454">
        <v>12</v>
      </c>
      <c r="J454" s="6">
        <v>971.6</v>
      </c>
      <c r="K454" s="6">
        <v>11659.2</v>
      </c>
      <c r="L454" t="s">
        <v>30</v>
      </c>
      <c r="M454" t="s">
        <v>41</v>
      </c>
      <c r="N454" s="3">
        <v>46195</v>
      </c>
      <c r="O454" s="6">
        <v>11659.2</v>
      </c>
    </row>
    <row r="455" spans="1:15" x14ac:dyDescent="0.3">
      <c r="A455" t="s">
        <v>500</v>
      </c>
      <c r="B455" s="3">
        <v>45826</v>
      </c>
      <c r="C455" t="s">
        <v>437</v>
      </c>
      <c r="D455" t="s">
        <v>24</v>
      </c>
      <c r="E455" t="s">
        <v>28</v>
      </c>
      <c r="F455" t="s">
        <v>38</v>
      </c>
      <c r="G455" t="s">
        <v>39</v>
      </c>
      <c r="H455" t="s">
        <v>21</v>
      </c>
      <c r="I455">
        <v>12</v>
      </c>
      <c r="J455" s="6">
        <v>899.22</v>
      </c>
      <c r="K455" s="6">
        <v>10790.64</v>
      </c>
      <c r="L455" t="s">
        <v>22</v>
      </c>
      <c r="M455" t="s">
        <v>22</v>
      </c>
      <c r="N455" s="3">
        <v>46203</v>
      </c>
      <c r="O455" s="6">
        <v>10790.64</v>
      </c>
    </row>
    <row r="456" spans="1:15" x14ac:dyDescent="0.3">
      <c r="A456" t="s">
        <v>501</v>
      </c>
      <c r="B456" s="3">
        <v>45826</v>
      </c>
      <c r="C456" t="s">
        <v>437</v>
      </c>
      <c r="D456" t="s">
        <v>49</v>
      </c>
      <c r="E456" t="s">
        <v>28</v>
      </c>
      <c r="F456" t="s">
        <v>33</v>
      </c>
      <c r="G456" t="s">
        <v>39</v>
      </c>
      <c r="H456" t="s">
        <v>21</v>
      </c>
      <c r="I456">
        <v>12</v>
      </c>
      <c r="J456" s="6">
        <v>515.67999999999995</v>
      </c>
      <c r="K456" s="6">
        <v>6188.16</v>
      </c>
      <c r="L456" t="s">
        <v>22</v>
      </c>
      <c r="M456" t="s">
        <v>22</v>
      </c>
      <c r="N456" s="3">
        <v>46203</v>
      </c>
      <c r="O456" s="6">
        <v>6188.16</v>
      </c>
    </row>
    <row r="457" spans="1:15" x14ac:dyDescent="0.3">
      <c r="A457" t="s">
        <v>502</v>
      </c>
      <c r="B457" s="3">
        <v>45827</v>
      </c>
      <c r="C457" t="s">
        <v>437</v>
      </c>
      <c r="D457" t="s">
        <v>49</v>
      </c>
      <c r="E457" t="s">
        <v>50</v>
      </c>
      <c r="F457" t="s">
        <v>33</v>
      </c>
      <c r="G457" t="s">
        <v>26</v>
      </c>
      <c r="H457" t="s">
        <v>21</v>
      </c>
      <c r="I457">
        <v>12</v>
      </c>
      <c r="J457" s="6">
        <v>476.6</v>
      </c>
      <c r="K457" s="6">
        <v>5719.2</v>
      </c>
      <c r="L457" t="s">
        <v>22</v>
      </c>
      <c r="M457" t="s">
        <v>22</v>
      </c>
      <c r="N457" s="3">
        <v>46203</v>
      </c>
      <c r="O457" s="6">
        <v>5719.2</v>
      </c>
    </row>
    <row r="458" spans="1:15" x14ac:dyDescent="0.3">
      <c r="A458" t="s">
        <v>503</v>
      </c>
      <c r="B458" s="3">
        <v>45828</v>
      </c>
      <c r="C458" t="s">
        <v>437</v>
      </c>
      <c r="D458" t="s">
        <v>17</v>
      </c>
      <c r="E458" t="s">
        <v>25</v>
      </c>
      <c r="F458" t="s">
        <v>51</v>
      </c>
      <c r="G458" t="s">
        <v>39</v>
      </c>
      <c r="H458" t="s">
        <v>45</v>
      </c>
      <c r="I458">
        <v>12</v>
      </c>
      <c r="J458" s="6">
        <v>1647.52</v>
      </c>
      <c r="K458" s="6">
        <v>19770.240000000002</v>
      </c>
      <c r="L458" t="s">
        <v>22</v>
      </c>
      <c r="M458" t="s">
        <v>22</v>
      </c>
      <c r="N458" s="3">
        <v>46203</v>
      </c>
      <c r="O458" s="6">
        <v>19770.240000000002</v>
      </c>
    </row>
    <row r="459" spans="1:15" x14ac:dyDescent="0.3">
      <c r="A459" t="s">
        <v>504</v>
      </c>
      <c r="B459" s="3">
        <v>45828</v>
      </c>
      <c r="C459" t="s">
        <v>437</v>
      </c>
      <c r="D459" t="s">
        <v>24</v>
      </c>
      <c r="E459" t="s">
        <v>25</v>
      </c>
      <c r="F459" t="s">
        <v>33</v>
      </c>
      <c r="G459" t="s">
        <v>39</v>
      </c>
      <c r="H459" t="s">
        <v>21</v>
      </c>
      <c r="I459">
        <v>12</v>
      </c>
      <c r="J459" s="6">
        <v>961.22</v>
      </c>
      <c r="K459" s="6">
        <v>11534.64</v>
      </c>
      <c r="L459" t="s">
        <v>22</v>
      </c>
      <c r="M459" t="s">
        <v>22</v>
      </c>
      <c r="N459" s="3">
        <v>46203</v>
      </c>
      <c r="O459" s="6">
        <v>11534.64</v>
      </c>
    </row>
    <row r="460" spans="1:15" x14ac:dyDescent="0.3">
      <c r="A460" t="s">
        <v>505</v>
      </c>
      <c r="B460" s="3">
        <v>45828</v>
      </c>
      <c r="C460" t="s">
        <v>437</v>
      </c>
      <c r="D460" t="s">
        <v>17</v>
      </c>
      <c r="E460" t="s">
        <v>25</v>
      </c>
      <c r="F460" t="s">
        <v>51</v>
      </c>
      <c r="G460" t="s">
        <v>39</v>
      </c>
      <c r="H460" t="s">
        <v>34</v>
      </c>
      <c r="I460">
        <v>4</v>
      </c>
      <c r="J460" s="6">
        <v>1401.89</v>
      </c>
      <c r="K460" s="6">
        <v>5607.56</v>
      </c>
      <c r="L460" t="s">
        <v>30</v>
      </c>
      <c r="M460" t="s">
        <v>31</v>
      </c>
      <c r="N460" s="3">
        <v>45959</v>
      </c>
      <c r="O460" s="6">
        <v>5607.56</v>
      </c>
    </row>
    <row r="461" spans="1:15" x14ac:dyDescent="0.3">
      <c r="A461" t="s">
        <v>506</v>
      </c>
      <c r="B461" s="3">
        <v>45828</v>
      </c>
      <c r="C461" t="s">
        <v>437</v>
      </c>
      <c r="D461" t="s">
        <v>24</v>
      </c>
      <c r="E461" t="s">
        <v>18</v>
      </c>
      <c r="F461" t="s">
        <v>19</v>
      </c>
      <c r="G461" t="s">
        <v>20</v>
      </c>
      <c r="H461" t="s">
        <v>40</v>
      </c>
      <c r="I461">
        <v>12</v>
      </c>
      <c r="J461" s="6">
        <v>936.37</v>
      </c>
      <c r="K461" s="6">
        <v>11236.44</v>
      </c>
      <c r="L461" t="s">
        <v>22</v>
      </c>
      <c r="M461" t="s">
        <v>22</v>
      </c>
      <c r="N461" s="3">
        <v>46203</v>
      </c>
      <c r="O461" s="6">
        <v>11236.44</v>
      </c>
    </row>
    <row r="462" spans="1:15" x14ac:dyDescent="0.3">
      <c r="A462" t="s">
        <v>507</v>
      </c>
      <c r="B462" s="3">
        <v>45829</v>
      </c>
      <c r="C462" t="s">
        <v>437</v>
      </c>
      <c r="D462" t="s">
        <v>24</v>
      </c>
      <c r="E462" t="s">
        <v>28</v>
      </c>
      <c r="F462" t="s">
        <v>51</v>
      </c>
      <c r="G462" t="s">
        <v>39</v>
      </c>
      <c r="H462" t="s">
        <v>40</v>
      </c>
      <c r="I462">
        <v>12</v>
      </c>
      <c r="J462" s="6">
        <v>967.19</v>
      </c>
      <c r="K462" s="6">
        <v>11606.28</v>
      </c>
      <c r="L462" t="s">
        <v>22</v>
      </c>
      <c r="M462" t="s">
        <v>22</v>
      </c>
      <c r="N462" s="3">
        <v>46203</v>
      </c>
      <c r="O462" s="6">
        <v>11606.28</v>
      </c>
    </row>
    <row r="463" spans="1:15" x14ac:dyDescent="0.3">
      <c r="A463" t="s">
        <v>508</v>
      </c>
      <c r="B463" s="3">
        <v>45829</v>
      </c>
      <c r="C463" t="s">
        <v>437</v>
      </c>
      <c r="D463" t="s">
        <v>24</v>
      </c>
      <c r="E463" t="s">
        <v>25</v>
      </c>
      <c r="F463" t="s">
        <v>51</v>
      </c>
      <c r="G463" t="s">
        <v>20</v>
      </c>
      <c r="H463" t="s">
        <v>45</v>
      </c>
      <c r="I463">
        <v>12</v>
      </c>
      <c r="J463" s="6">
        <v>919.6</v>
      </c>
      <c r="K463" s="6">
        <v>11035.2</v>
      </c>
      <c r="L463" t="s">
        <v>22</v>
      </c>
      <c r="M463" t="s">
        <v>22</v>
      </c>
      <c r="N463" s="3">
        <v>46203</v>
      </c>
      <c r="O463" s="6">
        <v>11035.2</v>
      </c>
    </row>
    <row r="464" spans="1:15" x14ac:dyDescent="0.3">
      <c r="A464" t="s">
        <v>509</v>
      </c>
      <c r="B464" s="3">
        <v>45829</v>
      </c>
      <c r="C464" t="s">
        <v>437</v>
      </c>
      <c r="D464" t="s">
        <v>17</v>
      </c>
      <c r="E464" t="s">
        <v>50</v>
      </c>
      <c r="F464" t="s">
        <v>29</v>
      </c>
      <c r="G464" t="s">
        <v>39</v>
      </c>
      <c r="H464" t="s">
        <v>21</v>
      </c>
      <c r="I464">
        <v>12</v>
      </c>
      <c r="J464" s="6">
        <v>1596.81</v>
      </c>
      <c r="K464" s="6">
        <v>19161.72</v>
      </c>
      <c r="L464" t="s">
        <v>22</v>
      </c>
      <c r="M464" t="s">
        <v>22</v>
      </c>
      <c r="N464" s="3">
        <v>46203</v>
      </c>
      <c r="O464" s="6">
        <v>19161.72</v>
      </c>
    </row>
    <row r="465" spans="1:15" x14ac:dyDescent="0.3">
      <c r="A465" t="s">
        <v>510</v>
      </c>
      <c r="B465" s="3">
        <v>45830</v>
      </c>
      <c r="C465" t="s">
        <v>437</v>
      </c>
      <c r="D465" t="s">
        <v>24</v>
      </c>
      <c r="E465" t="s">
        <v>28</v>
      </c>
      <c r="F465" t="s">
        <v>19</v>
      </c>
      <c r="G465" t="s">
        <v>39</v>
      </c>
      <c r="H465" t="s">
        <v>21</v>
      </c>
      <c r="I465">
        <v>8</v>
      </c>
      <c r="J465" s="6">
        <v>886.26</v>
      </c>
      <c r="K465" s="6">
        <v>7090.08</v>
      </c>
      <c r="L465" t="s">
        <v>30</v>
      </c>
      <c r="M465" t="s">
        <v>80</v>
      </c>
      <c r="N465" s="3">
        <v>46083</v>
      </c>
      <c r="O465" s="6">
        <v>7090.08</v>
      </c>
    </row>
    <row r="466" spans="1:15" x14ac:dyDescent="0.3">
      <c r="A466" t="s">
        <v>511</v>
      </c>
      <c r="B466" s="3">
        <v>45830</v>
      </c>
      <c r="C466" t="s">
        <v>437</v>
      </c>
      <c r="D466" t="s">
        <v>24</v>
      </c>
      <c r="E466" t="s">
        <v>25</v>
      </c>
      <c r="F466" t="s">
        <v>29</v>
      </c>
      <c r="G466" t="s">
        <v>20</v>
      </c>
      <c r="H466" t="s">
        <v>34</v>
      </c>
      <c r="I466">
        <v>12</v>
      </c>
      <c r="J466" s="6">
        <v>892.35</v>
      </c>
      <c r="K466" s="6">
        <v>10708.2</v>
      </c>
      <c r="L466" t="s">
        <v>22</v>
      </c>
      <c r="M466" t="s">
        <v>22</v>
      </c>
      <c r="N466" s="3">
        <v>46203</v>
      </c>
      <c r="O466" s="6">
        <v>10708.2</v>
      </c>
    </row>
    <row r="467" spans="1:15" x14ac:dyDescent="0.3">
      <c r="A467" t="s">
        <v>512</v>
      </c>
      <c r="B467" s="3">
        <v>45831</v>
      </c>
      <c r="C467" t="s">
        <v>437</v>
      </c>
      <c r="D467" t="s">
        <v>49</v>
      </c>
      <c r="E467" t="s">
        <v>25</v>
      </c>
      <c r="F467" t="s">
        <v>33</v>
      </c>
      <c r="G467" t="s">
        <v>39</v>
      </c>
      <c r="H467" t="s">
        <v>21</v>
      </c>
      <c r="I467">
        <v>7</v>
      </c>
      <c r="J467" s="6">
        <v>452.23</v>
      </c>
      <c r="K467" s="6">
        <v>3165.61</v>
      </c>
      <c r="L467" t="s">
        <v>30</v>
      </c>
      <c r="M467" t="s">
        <v>36</v>
      </c>
      <c r="N467" s="3">
        <v>46048</v>
      </c>
      <c r="O467" s="6">
        <v>3165.61</v>
      </c>
    </row>
    <row r="468" spans="1:15" x14ac:dyDescent="0.3">
      <c r="A468" t="s">
        <v>513</v>
      </c>
      <c r="B468" s="3">
        <v>45831</v>
      </c>
      <c r="C468" t="s">
        <v>437</v>
      </c>
      <c r="D468" t="s">
        <v>49</v>
      </c>
      <c r="E468" t="s">
        <v>28</v>
      </c>
      <c r="F468" t="s">
        <v>29</v>
      </c>
      <c r="G468" t="s">
        <v>39</v>
      </c>
      <c r="H468" t="s">
        <v>40</v>
      </c>
      <c r="I468">
        <v>5</v>
      </c>
      <c r="J468" s="6">
        <v>523.34</v>
      </c>
      <c r="K468" s="6">
        <v>2616.6999999999998</v>
      </c>
      <c r="L468" t="s">
        <v>30</v>
      </c>
      <c r="M468" t="s">
        <v>80</v>
      </c>
      <c r="N468" s="3">
        <v>45992</v>
      </c>
      <c r="O468" s="6">
        <v>2616.6999999999998</v>
      </c>
    </row>
    <row r="469" spans="1:15" x14ac:dyDescent="0.3">
      <c r="A469" t="s">
        <v>514</v>
      </c>
      <c r="B469" s="3">
        <v>45831</v>
      </c>
      <c r="C469" t="s">
        <v>437</v>
      </c>
      <c r="D469" t="s">
        <v>49</v>
      </c>
      <c r="E469" t="s">
        <v>28</v>
      </c>
      <c r="F469" t="s">
        <v>29</v>
      </c>
      <c r="G469" t="s">
        <v>26</v>
      </c>
      <c r="H469" t="s">
        <v>34</v>
      </c>
      <c r="I469">
        <v>6</v>
      </c>
      <c r="J469" s="6">
        <v>530.22</v>
      </c>
      <c r="K469" s="6">
        <v>3181.32</v>
      </c>
      <c r="L469" t="s">
        <v>30</v>
      </c>
      <c r="M469" t="s">
        <v>80</v>
      </c>
      <c r="N469" s="3">
        <v>46002</v>
      </c>
      <c r="O469" s="6">
        <v>3181.32</v>
      </c>
    </row>
    <row r="470" spans="1:15" x14ac:dyDescent="0.3">
      <c r="A470" t="s">
        <v>515</v>
      </c>
      <c r="B470" s="3">
        <v>45831</v>
      </c>
      <c r="C470" t="s">
        <v>437</v>
      </c>
      <c r="D470" t="s">
        <v>24</v>
      </c>
      <c r="E470" t="s">
        <v>25</v>
      </c>
      <c r="F470" t="s">
        <v>19</v>
      </c>
      <c r="G470" t="s">
        <v>39</v>
      </c>
      <c r="H470" t="s">
        <v>21</v>
      </c>
      <c r="I470">
        <v>12</v>
      </c>
      <c r="J470" s="6">
        <v>832.14</v>
      </c>
      <c r="K470" s="6">
        <v>9985.68</v>
      </c>
      <c r="L470" t="s">
        <v>22</v>
      </c>
      <c r="M470" t="s">
        <v>22</v>
      </c>
      <c r="N470" s="3">
        <v>46203</v>
      </c>
      <c r="O470" s="6">
        <v>9985.68</v>
      </c>
    </row>
    <row r="471" spans="1:15" x14ac:dyDescent="0.3">
      <c r="A471" t="s">
        <v>516</v>
      </c>
      <c r="B471" s="3">
        <v>45831</v>
      </c>
      <c r="C471" t="s">
        <v>437</v>
      </c>
      <c r="D471" t="s">
        <v>24</v>
      </c>
      <c r="E471" t="s">
        <v>28</v>
      </c>
      <c r="F471" t="s">
        <v>29</v>
      </c>
      <c r="G471" t="s">
        <v>39</v>
      </c>
      <c r="H471" t="s">
        <v>21</v>
      </c>
      <c r="I471">
        <v>12</v>
      </c>
      <c r="J471" s="6">
        <v>911.31</v>
      </c>
      <c r="K471" s="6">
        <v>10935.72</v>
      </c>
      <c r="L471" t="s">
        <v>22</v>
      </c>
      <c r="M471" t="s">
        <v>22</v>
      </c>
      <c r="N471" s="3">
        <v>46203</v>
      </c>
      <c r="O471" s="6">
        <v>10935.72</v>
      </c>
    </row>
    <row r="472" spans="1:15" x14ac:dyDescent="0.3">
      <c r="A472" t="s">
        <v>517</v>
      </c>
      <c r="B472" s="3">
        <v>45832</v>
      </c>
      <c r="C472" t="s">
        <v>437</v>
      </c>
      <c r="D472" t="s">
        <v>49</v>
      </c>
      <c r="E472" t="s">
        <v>18</v>
      </c>
      <c r="F472" t="s">
        <v>19</v>
      </c>
      <c r="G472" t="s">
        <v>20</v>
      </c>
      <c r="H472" t="s">
        <v>45</v>
      </c>
      <c r="I472">
        <v>12</v>
      </c>
      <c r="J472" s="6">
        <v>548.08000000000004</v>
      </c>
      <c r="K472" s="6">
        <v>6576.96</v>
      </c>
      <c r="L472" t="s">
        <v>22</v>
      </c>
      <c r="M472" t="s">
        <v>22</v>
      </c>
      <c r="N472" s="3">
        <v>46203</v>
      </c>
      <c r="O472" s="6">
        <v>6576.96</v>
      </c>
    </row>
    <row r="473" spans="1:15" x14ac:dyDescent="0.3">
      <c r="A473" t="s">
        <v>518</v>
      </c>
      <c r="B473" s="3">
        <v>45832</v>
      </c>
      <c r="C473" t="s">
        <v>437</v>
      </c>
      <c r="D473" t="s">
        <v>49</v>
      </c>
      <c r="E473" t="s">
        <v>25</v>
      </c>
      <c r="F473" t="s">
        <v>29</v>
      </c>
      <c r="G473" t="s">
        <v>20</v>
      </c>
      <c r="H473" t="s">
        <v>21</v>
      </c>
      <c r="I473">
        <v>1</v>
      </c>
      <c r="J473" s="6">
        <v>485.47</v>
      </c>
      <c r="K473" s="6">
        <v>485.47</v>
      </c>
      <c r="L473" t="s">
        <v>30</v>
      </c>
      <c r="M473" t="s">
        <v>43</v>
      </c>
      <c r="N473" s="3">
        <v>45871</v>
      </c>
      <c r="O473" s="6">
        <v>485.47</v>
      </c>
    </row>
    <row r="474" spans="1:15" x14ac:dyDescent="0.3">
      <c r="A474" t="s">
        <v>519</v>
      </c>
      <c r="B474" s="3">
        <v>45832</v>
      </c>
      <c r="C474" t="s">
        <v>437</v>
      </c>
      <c r="D474" t="s">
        <v>17</v>
      </c>
      <c r="E474" t="s">
        <v>28</v>
      </c>
      <c r="F474" t="s">
        <v>38</v>
      </c>
      <c r="G474" t="s">
        <v>20</v>
      </c>
      <c r="H474" t="s">
        <v>45</v>
      </c>
      <c r="I474">
        <v>12</v>
      </c>
      <c r="J474" s="6">
        <v>1589.26</v>
      </c>
      <c r="K474" s="6">
        <v>19071.12</v>
      </c>
      <c r="L474" t="s">
        <v>22</v>
      </c>
      <c r="M474" t="s">
        <v>22</v>
      </c>
      <c r="N474" s="3">
        <v>46203</v>
      </c>
      <c r="O474" s="6">
        <v>19071.12</v>
      </c>
    </row>
    <row r="475" spans="1:15" x14ac:dyDescent="0.3">
      <c r="A475" t="s">
        <v>520</v>
      </c>
      <c r="B475" s="3">
        <v>45832</v>
      </c>
      <c r="C475" t="s">
        <v>437</v>
      </c>
      <c r="D475" t="s">
        <v>17</v>
      </c>
      <c r="E475" t="s">
        <v>25</v>
      </c>
      <c r="F475" t="s">
        <v>29</v>
      </c>
      <c r="G475" t="s">
        <v>20</v>
      </c>
      <c r="H475" t="s">
        <v>21</v>
      </c>
      <c r="I475">
        <v>12</v>
      </c>
      <c r="J475" s="6">
        <v>1600.52</v>
      </c>
      <c r="K475" s="6">
        <v>19206.240000000002</v>
      </c>
      <c r="L475" t="s">
        <v>22</v>
      </c>
      <c r="M475" t="s">
        <v>22</v>
      </c>
      <c r="N475" s="3">
        <v>46203</v>
      </c>
      <c r="O475" s="6">
        <v>19206.240000000002</v>
      </c>
    </row>
    <row r="476" spans="1:15" x14ac:dyDescent="0.3">
      <c r="A476" t="s">
        <v>521</v>
      </c>
      <c r="B476" s="3">
        <v>45833</v>
      </c>
      <c r="C476" t="s">
        <v>437</v>
      </c>
      <c r="D476" t="s">
        <v>17</v>
      </c>
      <c r="E476" t="s">
        <v>18</v>
      </c>
      <c r="F476" t="s">
        <v>33</v>
      </c>
      <c r="G476" t="s">
        <v>39</v>
      </c>
      <c r="H476" t="s">
        <v>45</v>
      </c>
      <c r="I476">
        <v>4</v>
      </c>
      <c r="J476" s="6">
        <v>1541.02</v>
      </c>
      <c r="K476" s="6">
        <v>6164.08</v>
      </c>
      <c r="L476" t="s">
        <v>30</v>
      </c>
      <c r="M476" t="s">
        <v>36</v>
      </c>
      <c r="N476" s="3">
        <v>45951</v>
      </c>
      <c r="O476" s="6">
        <v>6164.08</v>
      </c>
    </row>
    <row r="477" spans="1:15" x14ac:dyDescent="0.3">
      <c r="A477" t="s">
        <v>522</v>
      </c>
      <c r="B477" s="3">
        <v>45834</v>
      </c>
      <c r="C477" t="s">
        <v>437</v>
      </c>
      <c r="D477" t="s">
        <v>17</v>
      </c>
      <c r="E477" t="s">
        <v>28</v>
      </c>
      <c r="F477" t="s">
        <v>29</v>
      </c>
      <c r="G477" t="s">
        <v>39</v>
      </c>
      <c r="H477" t="s">
        <v>21</v>
      </c>
      <c r="I477">
        <v>12</v>
      </c>
      <c r="J477" s="6">
        <v>1360.36</v>
      </c>
      <c r="K477" s="6">
        <v>16324.32</v>
      </c>
      <c r="L477" t="s">
        <v>22</v>
      </c>
      <c r="M477" t="s">
        <v>22</v>
      </c>
      <c r="N477" s="3">
        <v>46203</v>
      </c>
      <c r="O477" s="6">
        <v>16324.32</v>
      </c>
    </row>
    <row r="478" spans="1:15" x14ac:dyDescent="0.3">
      <c r="A478" t="s">
        <v>523</v>
      </c>
      <c r="B478" s="3">
        <v>45835</v>
      </c>
      <c r="C478" t="s">
        <v>437</v>
      </c>
      <c r="D478" t="s">
        <v>17</v>
      </c>
      <c r="E478" t="s">
        <v>18</v>
      </c>
      <c r="F478" t="s">
        <v>33</v>
      </c>
      <c r="G478" t="s">
        <v>20</v>
      </c>
      <c r="H478" t="s">
        <v>45</v>
      </c>
      <c r="I478">
        <v>12</v>
      </c>
      <c r="J478" s="6">
        <v>1647.21</v>
      </c>
      <c r="K478" s="6">
        <v>19766.52</v>
      </c>
      <c r="L478" t="s">
        <v>22</v>
      </c>
      <c r="M478" t="s">
        <v>22</v>
      </c>
      <c r="N478" s="3">
        <v>46203</v>
      </c>
      <c r="O478" s="6">
        <v>19766.52</v>
      </c>
    </row>
    <row r="479" spans="1:15" x14ac:dyDescent="0.3">
      <c r="A479" t="s">
        <v>524</v>
      </c>
      <c r="B479" s="3">
        <v>45836</v>
      </c>
      <c r="C479" t="s">
        <v>437</v>
      </c>
      <c r="D479" t="s">
        <v>49</v>
      </c>
      <c r="E479" t="s">
        <v>18</v>
      </c>
      <c r="F479" t="s">
        <v>33</v>
      </c>
      <c r="G479" t="s">
        <v>39</v>
      </c>
      <c r="H479" t="s">
        <v>40</v>
      </c>
      <c r="I479">
        <v>12</v>
      </c>
      <c r="J479" s="6">
        <v>529.41</v>
      </c>
      <c r="K479" s="6">
        <v>6352.92</v>
      </c>
      <c r="L479" t="s">
        <v>22</v>
      </c>
      <c r="M479" t="s">
        <v>22</v>
      </c>
      <c r="N479" s="3">
        <v>46203</v>
      </c>
      <c r="O479" s="6">
        <v>6352.92</v>
      </c>
    </row>
    <row r="480" spans="1:15" x14ac:dyDescent="0.3">
      <c r="A480" t="s">
        <v>525</v>
      </c>
      <c r="B480" s="3">
        <v>45836</v>
      </c>
      <c r="C480" t="s">
        <v>437</v>
      </c>
      <c r="D480" t="s">
        <v>17</v>
      </c>
      <c r="E480" t="s">
        <v>25</v>
      </c>
      <c r="F480" t="s">
        <v>19</v>
      </c>
      <c r="G480" t="s">
        <v>39</v>
      </c>
      <c r="H480" t="s">
        <v>21</v>
      </c>
      <c r="I480">
        <v>12</v>
      </c>
      <c r="J480" s="6">
        <v>1484.68</v>
      </c>
      <c r="K480" s="6">
        <v>17816.16</v>
      </c>
      <c r="L480" t="s">
        <v>22</v>
      </c>
      <c r="M480" t="s">
        <v>22</v>
      </c>
      <c r="N480" s="3">
        <v>46203</v>
      </c>
      <c r="O480" s="6">
        <v>17816.16</v>
      </c>
    </row>
    <row r="481" spans="1:15" x14ac:dyDescent="0.3">
      <c r="A481" t="s">
        <v>526</v>
      </c>
      <c r="B481" s="3">
        <v>45836</v>
      </c>
      <c r="C481" t="s">
        <v>437</v>
      </c>
      <c r="D481" t="s">
        <v>24</v>
      </c>
      <c r="E481" t="s">
        <v>25</v>
      </c>
      <c r="F481" t="s">
        <v>29</v>
      </c>
      <c r="G481" t="s">
        <v>39</v>
      </c>
      <c r="H481" t="s">
        <v>45</v>
      </c>
      <c r="I481">
        <v>12</v>
      </c>
      <c r="J481" s="6">
        <v>955.84</v>
      </c>
      <c r="K481" s="6">
        <v>11470.08</v>
      </c>
      <c r="L481" t="s">
        <v>22</v>
      </c>
      <c r="M481" t="s">
        <v>22</v>
      </c>
      <c r="N481" s="3">
        <v>46203</v>
      </c>
      <c r="O481" s="6">
        <v>11470.08</v>
      </c>
    </row>
    <row r="482" spans="1:15" x14ac:dyDescent="0.3">
      <c r="A482" t="s">
        <v>527</v>
      </c>
      <c r="B482" s="3">
        <v>45837</v>
      </c>
      <c r="C482" t="s">
        <v>437</v>
      </c>
      <c r="D482" t="s">
        <v>24</v>
      </c>
      <c r="E482" t="s">
        <v>50</v>
      </c>
      <c r="F482" t="s">
        <v>33</v>
      </c>
      <c r="G482" t="s">
        <v>39</v>
      </c>
      <c r="H482" t="s">
        <v>21</v>
      </c>
      <c r="I482">
        <v>12</v>
      </c>
      <c r="J482" s="6">
        <v>934.17</v>
      </c>
      <c r="K482" s="6">
        <v>11210.04</v>
      </c>
      <c r="L482" t="s">
        <v>22</v>
      </c>
      <c r="M482" t="s">
        <v>22</v>
      </c>
      <c r="N482" s="3">
        <v>46203</v>
      </c>
      <c r="O482" s="6">
        <v>11210.04</v>
      </c>
    </row>
    <row r="483" spans="1:15" x14ac:dyDescent="0.3">
      <c r="A483" t="s">
        <v>528</v>
      </c>
      <c r="B483" s="3">
        <v>45837</v>
      </c>
      <c r="C483" t="s">
        <v>437</v>
      </c>
      <c r="D483" t="s">
        <v>49</v>
      </c>
      <c r="E483" t="s">
        <v>28</v>
      </c>
      <c r="F483" t="s">
        <v>29</v>
      </c>
      <c r="G483" t="s">
        <v>39</v>
      </c>
      <c r="H483" t="s">
        <v>21</v>
      </c>
      <c r="I483">
        <v>2</v>
      </c>
      <c r="J483" s="6">
        <v>464.52</v>
      </c>
      <c r="K483" s="6">
        <v>929.04</v>
      </c>
      <c r="L483" t="s">
        <v>30</v>
      </c>
      <c r="M483" t="s">
        <v>31</v>
      </c>
      <c r="N483" s="3">
        <v>45905</v>
      </c>
      <c r="O483" s="6">
        <v>929.04</v>
      </c>
    </row>
    <row r="484" spans="1:15" x14ac:dyDescent="0.3">
      <c r="A484" t="s">
        <v>529</v>
      </c>
      <c r="B484" s="3">
        <v>45837</v>
      </c>
      <c r="C484" t="s">
        <v>437</v>
      </c>
      <c r="D484" t="s">
        <v>24</v>
      </c>
      <c r="E484" t="s">
        <v>25</v>
      </c>
      <c r="F484" t="s">
        <v>29</v>
      </c>
      <c r="G484" t="s">
        <v>39</v>
      </c>
      <c r="H484" t="s">
        <v>40</v>
      </c>
      <c r="I484">
        <v>1</v>
      </c>
      <c r="J484" s="6">
        <v>964.82</v>
      </c>
      <c r="K484" s="6">
        <v>964.82</v>
      </c>
      <c r="L484" t="s">
        <v>30</v>
      </c>
      <c r="M484" t="s">
        <v>43</v>
      </c>
      <c r="N484" s="3">
        <v>45873</v>
      </c>
      <c r="O484" s="6">
        <v>964.82</v>
      </c>
    </row>
    <row r="485" spans="1:15" x14ac:dyDescent="0.3">
      <c r="A485" t="s">
        <v>530</v>
      </c>
      <c r="B485" s="3">
        <v>45837</v>
      </c>
      <c r="C485" t="s">
        <v>437</v>
      </c>
      <c r="D485" t="s">
        <v>49</v>
      </c>
      <c r="E485" t="s">
        <v>50</v>
      </c>
      <c r="F485" t="s">
        <v>29</v>
      </c>
      <c r="G485" t="s">
        <v>39</v>
      </c>
      <c r="H485" t="s">
        <v>45</v>
      </c>
      <c r="I485">
        <v>1</v>
      </c>
      <c r="J485" s="6">
        <v>464.66</v>
      </c>
      <c r="K485" s="6">
        <v>464.66</v>
      </c>
      <c r="L485" t="s">
        <v>30</v>
      </c>
      <c r="M485" t="s">
        <v>41</v>
      </c>
      <c r="N485" s="3">
        <v>45880</v>
      </c>
      <c r="O485" s="6">
        <v>464.66</v>
      </c>
    </row>
    <row r="486" spans="1:15" x14ac:dyDescent="0.3">
      <c r="A486" t="s">
        <v>531</v>
      </c>
      <c r="B486" s="3">
        <v>45838</v>
      </c>
      <c r="C486" t="s">
        <v>437</v>
      </c>
      <c r="D486" t="s">
        <v>49</v>
      </c>
      <c r="E486" t="s">
        <v>25</v>
      </c>
      <c r="F486" t="s">
        <v>38</v>
      </c>
      <c r="G486" t="s">
        <v>39</v>
      </c>
      <c r="H486" t="s">
        <v>40</v>
      </c>
      <c r="I486">
        <v>12</v>
      </c>
      <c r="J486" s="6">
        <v>487.27</v>
      </c>
      <c r="K486" s="6">
        <v>5847.24</v>
      </c>
      <c r="L486" t="s">
        <v>22</v>
      </c>
      <c r="M486" t="s">
        <v>22</v>
      </c>
      <c r="N486" s="3">
        <v>46203</v>
      </c>
      <c r="O486" s="6">
        <v>5847.24</v>
      </c>
    </row>
    <row r="487" spans="1:15" x14ac:dyDescent="0.3">
      <c r="A487" t="s">
        <v>532</v>
      </c>
      <c r="B487" s="3">
        <v>45838</v>
      </c>
      <c r="C487" t="s">
        <v>437</v>
      </c>
      <c r="D487" t="s">
        <v>49</v>
      </c>
      <c r="E487" t="s">
        <v>25</v>
      </c>
      <c r="F487" t="s">
        <v>29</v>
      </c>
      <c r="G487" t="s">
        <v>39</v>
      </c>
      <c r="H487" t="s">
        <v>21</v>
      </c>
      <c r="I487">
        <v>12</v>
      </c>
      <c r="J487" s="6">
        <v>455.42</v>
      </c>
      <c r="K487" s="6">
        <v>5465.04</v>
      </c>
      <c r="L487" t="s">
        <v>22</v>
      </c>
      <c r="M487" t="s">
        <v>22</v>
      </c>
      <c r="N487" s="3">
        <v>46203</v>
      </c>
      <c r="O487" s="6">
        <v>5465.04</v>
      </c>
    </row>
    <row r="488" spans="1:15" x14ac:dyDescent="0.3">
      <c r="A488" t="s">
        <v>533</v>
      </c>
      <c r="B488" s="3">
        <v>45838</v>
      </c>
      <c r="C488" t="s">
        <v>437</v>
      </c>
      <c r="D488" t="s">
        <v>24</v>
      </c>
      <c r="E488" t="s">
        <v>25</v>
      </c>
      <c r="F488" t="s">
        <v>29</v>
      </c>
      <c r="G488" t="s">
        <v>39</v>
      </c>
      <c r="H488" t="s">
        <v>45</v>
      </c>
      <c r="I488">
        <v>2</v>
      </c>
      <c r="J488" s="6">
        <v>884.72</v>
      </c>
      <c r="K488" s="6">
        <v>1769.44</v>
      </c>
      <c r="L488" t="s">
        <v>30</v>
      </c>
      <c r="M488" t="s">
        <v>31</v>
      </c>
      <c r="N488" s="3">
        <v>45894</v>
      </c>
      <c r="O488" s="6">
        <v>1769.44</v>
      </c>
    </row>
    <row r="489" spans="1:15" x14ac:dyDescent="0.3">
      <c r="A489" t="s">
        <v>534</v>
      </c>
      <c r="B489" s="3">
        <v>45839</v>
      </c>
      <c r="C489" t="s">
        <v>535</v>
      </c>
      <c r="D489" t="s">
        <v>49</v>
      </c>
      <c r="E489" t="s">
        <v>18</v>
      </c>
      <c r="F489" t="s">
        <v>33</v>
      </c>
      <c r="G489" t="s">
        <v>39</v>
      </c>
      <c r="H489" t="s">
        <v>34</v>
      </c>
      <c r="I489">
        <v>12</v>
      </c>
      <c r="J489" s="6">
        <v>466.4</v>
      </c>
      <c r="K489" s="6">
        <v>5596.8</v>
      </c>
      <c r="L489" t="s">
        <v>22</v>
      </c>
      <c r="M489" t="s">
        <v>22</v>
      </c>
      <c r="N489" s="3">
        <v>46203</v>
      </c>
      <c r="O489" s="6">
        <v>5596.8</v>
      </c>
    </row>
    <row r="490" spans="1:15" x14ac:dyDescent="0.3">
      <c r="A490" t="s">
        <v>536</v>
      </c>
      <c r="B490" s="3">
        <v>45839</v>
      </c>
      <c r="C490" t="s">
        <v>535</v>
      </c>
      <c r="D490" t="s">
        <v>49</v>
      </c>
      <c r="E490" t="s">
        <v>25</v>
      </c>
      <c r="F490" t="s">
        <v>29</v>
      </c>
      <c r="G490" t="s">
        <v>39</v>
      </c>
      <c r="H490" t="s">
        <v>21</v>
      </c>
      <c r="I490">
        <v>3</v>
      </c>
      <c r="J490" s="6">
        <v>515.17999999999995</v>
      </c>
      <c r="K490" s="6">
        <v>1545.54</v>
      </c>
      <c r="L490" t="s">
        <v>30</v>
      </c>
      <c r="M490" t="s">
        <v>43</v>
      </c>
      <c r="N490" s="3">
        <v>45933</v>
      </c>
      <c r="O490" s="6">
        <v>1545.54</v>
      </c>
    </row>
    <row r="491" spans="1:15" x14ac:dyDescent="0.3">
      <c r="A491" t="s">
        <v>537</v>
      </c>
      <c r="B491" s="3">
        <v>45840</v>
      </c>
      <c r="C491" t="s">
        <v>535</v>
      </c>
      <c r="D491" t="s">
        <v>24</v>
      </c>
      <c r="E491" t="s">
        <v>28</v>
      </c>
      <c r="F491" t="s">
        <v>29</v>
      </c>
      <c r="G491" t="s">
        <v>39</v>
      </c>
      <c r="H491" t="s">
        <v>45</v>
      </c>
      <c r="I491">
        <v>12</v>
      </c>
      <c r="J491" s="6">
        <v>875.63</v>
      </c>
      <c r="K491" s="6">
        <v>10507.56</v>
      </c>
      <c r="L491" t="s">
        <v>22</v>
      </c>
      <c r="M491" t="s">
        <v>22</v>
      </c>
      <c r="N491" s="3">
        <v>46203</v>
      </c>
      <c r="O491" s="6">
        <v>10507.56</v>
      </c>
    </row>
    <row r="492" spans="1:15" x14ac:dyDescent="0.3">
      <c r="A492" t="s">
        <v>538</v>
      </c>
      <c r="B492" s="3">
        <v>45840</v>
      </c>
      <c r="C492" t="s">
        <v>535</v>
      </c>
      <c r="D492" t="s">
        <v>17</v>
      </c>
      <c r="E492" t="s">
        <v>25</v>
      </c>
      <c r="F492" t="s">
        <v>29</v>
      </c>
      <c r="G492" t="s">
        <v>39</v>
      </c>
      <c r="H492" t="s">
        <v>21</v>
      </c>
      <c r="I492">
        <v>12</v>
      </c>
      <c r="J492" s="6">
        <v>1482.11</v>
      </c>
      <c r="K492" s="6">
        <v>17785.32</v>
      </c>
      <c r="L492" t="s">
        <v>22</v>
      </c>
      <c r="M492" t="s">
        <v>22</v>
      </c>
      <c r="N492" s="3">
        <v>46203</v>
      </c>
      <c r="O492" s="6">
        <v>17785.32</v>
      </c>
    </row>
    <row r="493" spans="1:15" x14ac:dyDescent="0.3">
      <c r="A493" t="s">
        <v>539</v>
      </c>
      <c r="B493" s="3">
        <v>45840</v>
      </c>
      <c r="C493" t="s">
        <v>535</v>
      </c>
      <c r="D493" t="s">
        <v>17</v>
      </c>
      <c r="E493" t="s">
        <v>28</v>
      </c>
      <c r="F493" t="s">
        <v>29</v>
      </c>
      <c r="G493" t="s">
        <v>39</v>
      </c>
      <c r="H493" t="s">
        <v>34</v>
      </c>
      <c r="I493">
        <v>12</v>
      </c>
      <c r="J493" s="6">
        <v>1488.47</v>
      </c>
      <c r="K493" s="6">
        <v>17861.64</v>
      </c>
      <c r="L493" t="s">
        <v>22</v>
      </c>
      <c r="M493" t="s">
        <v>22</v>
      </c>
      <c r="N493" s="3">
        <v>46203</v>
      </c>
      <c r="O493" s="6">
        <v>17861.64</v>
      </c>
    </row>
    <row r="494" spans="1:15" x14ac:dyDescent="0.3">
      <c r="A494" t="s">
        <v>540</v>
      </c>
      <c r="B494" s="3">
        <v>45840</v>
      </c>
      <c r="C494" t="s">
        <v>535</v>
      </c>
      <c r="D494" t="s">
        <v>49</v>
      </c>
      <c r="E494" t="s">
        <v>18</v>
      </c>
      <c r="F494" t="s">
        <v>33</v>
      </c>
      <c r="G494" t="s">
        <v>26</v>
      </c>
      <c r="H494" t="s">
        <v>21</v>
      </c>
      <c r="I494">
        <v>12</v>
      </c>
      <c r="J494" s="6">
        <v>494.8</v>
      </c>
      <c r="K494" s="6">
        <v>5937.6</v>
      </c>
      <c r="L494" t="s">
        <v>30</v>
      </c>
      <c r="M494" t="s">
        <v>31</v>
      </c>
      <c r="N494" s="3">
        <v>46196</v>
      </c>
      <c r="O494" s="6">
        <v>5937.6</v>
      </c>
    </row>
    <row r="495" spans="1:15" x14ac:dyDescent="0.3">
      <c r="A495" t="s">
        <v>541</v>
      </c>
      <c r="B495" s="3">
        <v>45840</v>
      </c>
      <c r="C495" t="s">
        <v>535</v>
      </c>
      <c r="D495" t="s">
        <v>24</v>
      </c>
      <c r="E495" t="s">
        <v>28</v>
      </c>
      <c r="F495" t="s">
        <v>19</v>
      </c>
      <c r="G495" t="s">
        <v>20</v>
      </c>
      <c r="H495" t="s">
        <v>40</v>
      </c>
      <c r="I495">
        <v>12</v>
      </c>
      <c r="J495" s="6">
        <v>967.57</v>
      </c>
      <c r="K495" s="6">
        <v>11610.84</v>
      </c>
      <c r="L495" t="s">
        <v>22</v>
      </c>
      <c r="M495" t="s">
        <v>22</v>
      </c>
      <c r="N495" s="3">
        <v>46203</v>
      </c>
      <c r="O495" s="6">
        <v>11610.84</v>
      </c>
    </row>
    <row r="496" spans="1:15" x14ac:dyDescent="0.3">
      <c r="A496" t="s">
        <v>542</v>
      </c>
      <c r="B496" s="3">
        <v>45841</v>
      </c>
      <c r="C496" t="s">
        <v>535</v>
      </c>
      <c r="D496" t="s">
        <v>17</v>
      </c>
      <c r="E496" t="s">
        <v>50</v>
      </c>
      <c r="F496" t="s">
        <v>33</v>
      </c>
      <c r="G496" t="s">
        <v>39</v>
      </c>
      <c r="H496" t="s">
        <v>21</v>
      </c>
      <c r="I496">
        <v>12</v>
      </c>
      <c r="J496" s="6">
        <v>1529.72</v>
      </c>
      <c r="K496" s="6">
        <v>18356.64</v>
      </c>
      <c r="L496" t="s">
        <v>22</v>
      </c>
      <c r="M496" t="s">
        <v>22</v>
      </c>
      <c r="N496" s="3">
        <v>46203</v>
      </c>
      <c r="O496" s="6">
        <v>18356.64</v>
      </c>
    </row>
    <row r="497" spans="1:15" x14ac:dyDescent="0.3">
      <c r="A497" t="s">
        <v>543</v>
      </c>
      <c r="B497" s="3">
        <v>45842</v>
      </c>
      <c r="C497" t="s">
        <v>535</v>
      </c>
      <c r="D497" t="s">
        <v>24</v>
      </c>
      <c r="E497" t="s">
        <v>28</v>
      </c>
      <c r="F497" t="s">
        <v>19</v>
      </c>
      <c r="G497" t="s">
        <v>20</v>
      </c>
      <c r="H497" t="s">
        <v>21</v>
      </c>
      <c r="I497">
        <v>12</v>
      </c>
      <c r="J497" s="6">
        <v>815.97</v>
      </c>
      <c r="K497" s="6">
        <v>9791.64</v>
      </c>
      <c r="L497" t="s">
        <v>22</v>
      </c>
      <c r="M497" t="s">
        <v>22</v>
      </c>
      <c r="N497" s="3">
        <v>46203</v>
      </c>
      <c r="O497" s="6">
        <v>9791.64</v>
      </c>
    </row>
    <row r="498" spans="1:15" x14ac:dyDescent="0.3">
      <c r="A498" t="s">
        <v>544</v>
      </c>
      <c r="B498" s="3">
        <v>45842</v>
      </c>
      <c r="C498" t="s">
        <v>535</v>
      </c>
      <c r="D498" t="s">
        <v>49</v>
      </c>
      <c r="E498" t="s">
        <v>25</v>
      </c>
      <c r="F498" t="s">
        <v>29</v>
      </c>
      <c r="G498" t="s">
        <v>39</v>
      </c>
      <c r="H498" t="s">
        <v>34</v>
      </c>
      <c r="I498">
        <v>12</v>
      </c>
      <c r="J498" s="6">
        <v>469.51</v>
      </c>
      <c r="K498" s="6">
        <v>5634.12</v>
      </c>
      <c r="L498" t="s">
        <v>30</v>
      </c>
      <c r="M498" t="s">
        <v>43</v>
      </c>
      <c r="N498" s="3">
        <v>46193</v>
      </c>
      <c r="O498" s="6">
        <v>5634.12</v>
      </c>
    </row>
    <row r="499" spans="1:15" x14ac:dyDescent="0.3">
      <c r="A499" t="s">
        <v>545</v>
      </c>
      <c r="B499" s="3">
        <v>45842</v>
      </c>
      <c r="C499" t="s">
        <v>535</v>
      </c>
      <c r="D499" t="s">
        <v>24</v>
      </c>
      <c r="E499" t="s">
        <v>50</v>
      </c>
      <c r="F499" t="s">
        <v>19</v>
      </c>
      <c r="G499" t="s">
        <v>39</v>
      </c>
      <c r="H499" t="s">
        <v>21</v>
      </c>
      <c r="I499">
        <v>12</v>
      </c>
      <c r="J499" s="6">
        <v>861.76</v>
      </c>
      <c r="K499" s="6">
        <v>10341.120000000001</v>
      </c>
      <c r="L499" t="s">
        <v>22</v>
      </c>
      <c r="M499" t="s">
        <v>22</v>
      </c>
      <c r="N499" s="3">
        <v>46203</v>
      </c>
      <c r="O499" s="6">
        <v>10341.120000000001</v>
      </c>
    </row>
    <row r="500" spans="1:15" x14ac:dyDescent="0.3">
      <c r="A500" t="s">
        <v>546</v>
      </c>
      <c r="B500" s="3">
        <v>45842</v>
      </c>
      <c r="C500" t="s">
        <v>535</v>
      </c>
      <c r="D500" t="s">
        <v>24</v>
      </c>
      <c r="E500" t="s">
        <v>25</v>
      </c>
      <c r="F500" t="s">
        <v>19</v>
      </c>
      <c r="G500" t="s">
        <v>20</v>
      </c>
      <c r="H500" t="s">
        <v>45</v>
      </c>
      <c r="I500">
        <v>12</v>
      </c>
      <c r="J500" s="6">
        <v>905.26</v>
      </c>
      <c r="K500" s="6">
        <v>10863.12</v>
      </c>
      <c r="L500" t="s">
        <v>22</v>
      </c>
      <c r="M500" t="s">
        <v>22</v>
      </c>
      <c r="N500" s="3">
        <v>46203</v>
      </c>
      <c r="O500" s="6">
        <v>10863.12</v>
      </c>
    </row>
    <row r="501" spans="1:15" x14ac:dyDescent="0.3">
      <c r="A501" t="s">
        <v>547</v>
      </c>
      <c r="B501" s="3">
        <v>45842</v>
      </c>
      <c r="C501" t="s">
        <v>535</v>
      </c>
      <c r="D501" t="s">
        <v>49</v>
      </c>
      <c r="E501" t="s">
        <v>18</v>
      </c>
      <c r="F501" t="s">
        <v>29</v>
      </c>
      <c r="G501" t="s">
        <v>39</v>
      </c>
      <c r="H501" t="s">
        <v>21</v>
      </c>
      <c r="I501">
        <v>12</v>
      </c>
      <c r="J501" s="6">
        <v>511.69</v>
      </c>
      <c r="K501" s="6">
        <v>6140.28</v>
      </c>
      <c r="L501" t="s">
        <v>22</v>
      </c>
      <c r="M501" t="s">
        <v>22</v>
      </c>
      <c r="N501" s="3">
        <v>46203</v>
      </c>
      <c r="O501" s="6">
        <v>6140.28</v>
      </c>
    </row>
    <row r="502" spans="1:15" x14ac:dyDescent="0.3">
      <c r="A502" t="s">
        <v>548</v>
      </c>
      <c r="B502" s="3">
        <v>45842</v>
      </c>
      <c r="C502" t="s">
        <v>535</v>
      </c>
      <c r="D502" t="s">
        <v>24</v>
      </c>
      <c r="E502" t="s">
        <v>28</v>
      </c>
      <c r="F502" t="s">
        <v>33</v>
      </c>
      <c r="G502" t="s">
        <v>20</v>
      </c>
      <c r="H502" t="s">
        <v>40</v>
      </c>
      <c r="I502">
        <v>12</v>
      </c>
      <c r="J502" s="6">
        <v>833.06</v>
      </c>
      <c r="K502" s="6">
        <v>9996.7199999999993</v>
      </c>
      <c r="L502" t="s">
        <v>22</v>
      </c>
      <c r="M502" t="s">
        <v>22</v>
      </c>
      <c r="N502" s="3">
        <v>46203</v>
      </c>
      <c r="O502" s="6">
        <v>9996.7199999999993</v>
      </c>
    </row>
    <row r="503" spans="1:15" x14ac:dyDescent="0.3">
      <c r="A503" t="s">
        <v>549</v>
      </c>
      <c r="B503" s="3">
        <v>45843</v>
      </c>
      <c r="C503" t="s">
        <v>535</v>
      </c>
      <c r="D503" t="s">
        <v>24</v>
      </c>
      <c r="E503" t="s">
        <v>18</v>
      </c>
      <c r="F503" t="s">
        <v>29</v>
      </c>
      <c r="G503" t="s">
        <v>39</v>
      </c>
      <c r="H503" t="s">
        <v>40</v>
      </c>
      <c r="I503">
        <v>12</v>
      </c>
      <c r="J503" s="6">
        <v>815.8</v>
      </c>
      <c r="K503" s="6">
        <v>9789.6</v>
      </c>
      <c r="L503" t="s">
        <v>22</v>
      </c>
      <c r="M503" t="s">
        <v>22</v>
      </c>
      <c r="N503" s="3">
        <v>46203</v>
      </c>
      <c r="O503" s="6">
        <v>9789.6</v>
      </c>
    </row>
    <row r="504" spans="1:15" x14ac:dyDescent="0.3">
      <c r="A504" t="s">
        <v>550</v>
      </c>
      <c r="B504" s="3">
        <v>45843</v>
      </c>
      <c r="C504" t="s">
        <v>535</v>
      </c>
      <c r="D504" t="s">
        <v>17</v>
      </c>
      <c r="E504" t="s">
        <v>18</v>
      </c>
      <c r="F504" t="s">
        <v>19</v>
      </c>
      <c r="G504" t="s">
        <v>39</v>
      </c>
      <c r="H504" t="s">
        <v>21</v>
      </c>
      <c r="I504">
        <v>12</v>
      </c>
      <c r="J504" s="6">
        <v>1521.49</v>
      </c>
      <c r="K504" s="6">
        <v>18257.88</v>
      </c>
      <c r="L504" t="s">
        <v>22</v>
      </c>
      <c r="M504" t="s">
        <v>22</v>
      </c>
      <c r="N504" s="3">
        <v>46203</v>
      </c>
      <c r="O504" s="6">
        <v>18257.88</v>
      </c>
    </row>
    <row r="505" spans="1:15" x14ac:dyDescent="0.3">
      <c r="A505" t="s">
        <v>551</v>
      </c>
      <c r="B505" s="3">
        <v>45843</v>
      </c>
      <c r="C505" t="s">
        <v>535</v>
      </c>
      <c r="D505" t="s">
        <v>24</v>
      </c>
      <c r="E505" t="s">
        <v>25</v>
      </c>
      <c r="F505" t="s">
        <v>33</v>
      </c>
      <c r="G505" t="s">
        <v>39</v>
      </c>
      <c r="H505" t="s">
        <v>21</v>
      </c>
      <c r="I505">
        <v>12</v>
      </c>
      <c r="J505" s="6">
        <v>951.72</v>
      </c>
      <c r="K505" s="6">
        <v>11420.64</v>
      </c>
      <c r="L505" t="s">
        <v>22</v>
      </c>
      <c r="M505" t="s">
        <v>22</v>
      </c>
      <c r="N505" s="3">
        <v>46203</v>
      </c>
      <c r="O505" s="6">
        <v>11420.64</v>
      </c>
    </row>
    <row r="506" spans="1:15" x14ac:dyDescent="0.3">
      <c r="A506" t="s">
        <v>552</v>
      </c>
      <c r="B506" s="3">
        <v>45845</v>
      </c>
      <c r="C506" t="s">
        <v>535</v>
      </c>
      <c r="D506" t="s">
        <v>24</v>
      </c>
      <c r="E506" t="s">
        <v>28</v>
      </c>
      <c r="F506" t="s">
        <v>38</v>
      </c>
      <c r="G506" t="s">
        <v>20</v>
      </c>
      <c r="H506" t="s">
        <v>21</v>
      </c>
      <c r="I506">
        <v>3</v>
      </c>
      <c r="J506" s="6">
        <v>914.53</v>
      </c>
      <c r="K506" s="6">
        <v>2743.59</v>
      </c>
      <c r="L506" t="s">
        <v>30</v>
      </c>
      <c r="M506" t="s">
        <v>80</v>
      </c>
      <c r="N506" s="3">
        <v>45946</v>
      </c>
      <c r="O506" s="6">
        <v>2743.59</v>
      </c>
    </row>
    <row r="507" spans="1:15" x14ac:dyDescent="0.3">
      <c r="A507" t="s">
        <v>553</v>
      </c>
      <c r="B507" s="3">
        <v>45845</v>
      </c>
      <c r="C507" t="s">
        <v>535</v>
      </c>
      <c r="D507" t="s">
        <v>24</v>
      </c>
      <c r="E507" t="s">
        <v>50</v>
      </c>
      <c r="F507" t="s">
        <v>19</v>
      </c>
      <c r="G507" t="s">
        <v>20</v>
      </c>
      <c r="H507" t="s">
        <v>21</v>
      </c>
      <c r="I507">
        <v>12</v>
      </c>
      <c r="J507" s="6">
        <v>832.34</v>
      </c>
      <c r="K507" s="6">
        <v>9988.08</v>
      </c>
      <c r="L507" t="s">
        <v>22</v>
      </c>
      <c r="M507" t="s">
        <v>22</v>
      </c>
      <c r="N507" s="3">
        <v>46203</v>
      </c>
      <c r="O507" s="6">
        <v>9988.08</v>
      </c>
    </row>
    <row r="508" spans="1:15" x14ac:dyDescent="0.3">
      <c r="A508" t="s">
        <v>554</v>
      </c>
      <c r="B508" s="3">
        <v>45845</v>
      </c>
      <c r="C508" t="s">
        <v>535</v>
      </c>
      <c r="D508" t="s">
        <v>24</v>
      </c>
      <c r="E508" t="s">
        <v>50</v>
      </c>
      <c r="F508" t="s">
        <v>29</v>
      </c>
      <c r="G508" t="s">
        <v>39</v>
      </c>
      <c r="H508" t="s">
        <v>40</v>
      </c>
      <c r="I508">
        <v>12</v>
      </c>
      <c r="J508" s="6">
        <v>911.12</v>
      </c>
      <c r="K508" s="6">
        <v>10933.44</v>
      </c>
      <c r="L508" t="s">
        <v>22</v>
      </c>
      <c r="M508" t="s">
        <v>22</v>
      </c>
      <c r="N508" s="3">
        <v>46203</v>
      </c>
      <c r="O508" s="6">
        <v>10933.44</v>
      </c>
    </row>
    <row r="509" spans="1:15" x14ac:dyDescent="0.3">
      <c r="A509" t="s">
        <v>555</v>
      </c>
      <c r="B509" s="3">
        <v>45845</v>
      </c>
      <c r="C509" t="s">
        <v>535</v>
      </c>
      <c r="D509" t="s">
        <v>49</v>
      </c>
      <c r="E509" t="s">
        <v>25</v>
      </c>
      <c r="F509" t="s">
        <v>33</v>
      </c>
      <c r="G509" t="s">
        <v>39</v>
      </c>
      <c r="H509" t="s">
        <v>40</v>
      </c>
      <c r="I509">
        <v>12</v>
      </c>
      <c r="J509" s="6">
        <v>466.67</v>
      </c>
      <c r="K509" s="6">
        <v>5600.04</v>
      </c>
      <c r="L509" t="s">
        <v>22</v>
      </c>
      <c r="M509" t="s">
        <v>22</v>
      </c>
      <c r="N509" s="3">
        <v>46203</v>
      </c>
      <c r="O509" s="6">
        <v>5600.04</v>
      </c>
    </row>
    <row r="510" spans="1:15" x14ac:dyDescent="0.3">
      <c r="A510" t="s">
        <v>556</v>
      </c>
      <c r="B510" s="3">
        <v>45846</v>
      </c>
      <c r="C510" t="s">
        <v>535</v>
      </c>
      <c r="D510" t="s">
        <v>17</v>
      </c>
      <c r="E510" t="s">
        <v>25</v>
      </c>
      <c r="F510" t="s">
        <v>51</v>
      </c>
      <c r="G510" t="s">
        <v>39</v>
      </c>
      <c r="H510" t="s">
        <v>21</v>
      </c>
      <c r="I510">
        <v>12</v>
      </c>
      <c r="J510" s="6">
        <v>1428.9</v>
      </c>
      <c r="K510" s="6">
        <v>17146.8</v>
      </c>
      <c r="L510" t="s">
        <v>22</v>
      </c>
      <c r="M510" t="s">
        <v>22</v>
      </c>
      <c r="N510" s="3">
        <v>46203</v>
      </c>
      <c r="O510" s="6">
        <v>17146.8</v>
      </c>
    </row>
    <row r="511" spans="1:15" x14ac:dyDescent="0.3">
      <c r="A511" t="s">
        <v>557</v>
      </c>
      <c r="B511" s="3">
        <v>45846</v>
      </c>
      <c r="C511" t="s">
        <v>535</v>
      </c>
      <c r="D511" t="s">
        <v>24</v>
      </c>
      <c r="E511" t="s">
        <v>28</v>
      </c>
      <c r="F511" t="s">
        <v>29</v>
      </c>
      <c r="G511" t="s">
        <v>26</v>
      </c>
      <c r="H511" t="s">
        <v>34</v>
      </c>
      <c r="I511">
        <v>12</v>
      </c>
      <c r="J511" s="6">
        <v>902.86</v>
      </c>
      <c r="K511" s="6">
        <v>10834.32</v>
      </c>
      <c r="L511" t="s">
        <v>22</v>
      </c>
      <c r="M511" t="s">
        <v>22</v>
      </c>
      <c r="N511" s="3">
        <v>46203</v>
      </c>
      <c r="O511" s="6">
        <v>10834.32</v>
      </c>
    </row>
    <row r="512" spans="1:15" x14ac:dyDescent="0.3">
      <c r="A512" t="s">
        <v>558</v>
      </c>
      <c r="B512" s="3">
        <v>45846</v>
      </c>
      <c r="C512" t="s">
        <v>535</v>
      </c>
      <c r="D512" t="s">
        <v>49</v>
      </c>
      <c r="E512" t="s">
        <v>25</v>
      </c>
      <c r="F512" t="s">
        <v>29</v>
      </c>
      <c r="G512" t="s">
        <v>20</v>
      </c>
      <c r="H512" t="s">
        <v>21</v>
      </c>
      <c r="I512">
        <v>12</v>
      </c>
      <c r="J512" s="6">
        <v>502.33</v>
      </c>
      <c r="K512" s="6">
        <v>6027.96</v>
      </c>
      <c r="L512" t="s">
        <v>22</v>
      </c>
      <c r="M512" t="s">
        <v>22</v>
      </c>
      <c r="N512" s="3">
        <v>46203</v>
      </c>
      <c r="O512" s="6">
        <v>6027.96</v>
      </c>
    </row>
    <row r="513" spans="1:15" x14ac:dyDescent="0.3">
      <c r="A513" t="s">
        <v>559</v>
      </c>
      <c r="B513" s="3">
        <v>45847</v>
      </c>
      <c r="C513" t="s">
        <v>535</v>
      </c>
      <c r="D513" t="s">
        <v>24</v>
      </c>
      <c r="E513" t="s">
        <v>25</v>
      </c>
      <c r="F513" t="s">
        <v>38</v>
      </c>
      <c r="G513" t="s">
        <v>39</v>
      </c>
      <c r="H513" t="s">
        <v>21</v>
      </c>
      <c r="I513">
        <v>12</v>
      </c>
      <c r="J513" s="6">
        <v>900.06</v>
      </c>
      <c r="K513" s="6">
        <v>10800.72</v>
      </c>
      <c r="L513" t="s">
        <v>22</v>
      </c>
      <c r="M513" t="s">
        <v>22</v>
      </c>
      <c r="N513" s="3">
        <v>46203</v>
      </c>
      <c r="O513" s="6">
        <v>10800.72</v>
      </c>
    </row>
    <row r="514" spans="1:15" x14ac:dyDescent="0.3">
      <c r="A514" t="s">
        <v>560</v>
      </c>
      <c r="B514" s="3">
        <v>45847</v>
      </c>
      <c r="C514" t="s">
        <v>535</v>
      </c>
      <c r="D514" t="s">
        <v>17</v>
      </c>
      <c r="E514" t="s">
        <v>50</v>
      </c>
      <c r="F514" t="s">
        <v>33</v>
      </c>
      <c r="G514" t="s">
        <v>39</v>
      </c>
      <c r="H514" t="s">
        <v>21</v>
      </c>
      <c r="I514">
        <v>12</v>
      </c>
      <c r="J514" s="6">
        <v>1448.67</v>
      </c>
      <c r="K514" s="6">
        <v>17384.04</v>
      </c>
      <c r="L514" t="s">
        <v>22</v>
      </c>
      <c r="M514" t="s">
        <v>22</v>
      </c>
      <c r="N514" s="3">
        <v>46203</v>
      </c>
      <c r="O514" s="6">
        <v>17384.04</v>
      </c>
    </row>
    <row r="515" spans="1:15" x14ac:dyDescent="0.3">
      <c r="A515" t="s">
        <v>561</v>
      </c>
      <c r="B515" s="3">
        <v>45848</v>
      </c>
      <c r="C515" t="s">
        <v>535</v>
      </c>
      <c r="D515" t="s">
        <v>49</v>
      </c>
      <c r="E515" t="s">
        <v>25</v>
      </c>
      <c r="F515" t="s">
        <v>33</v>
      </c>
      <c r="G515" t="s">
        <v>20</v>
      </c>
      <c r="H515" t="s">
        <v>40</v>
      </c>
      <c r="I515">
        <v>12</v>
      </c>
      <c r="J515" s="6">
        <v>486.18</v>
      </c>
      <c r="K515" s="6">
        <v>5834.16</v>
      </c>
      <c r="L515" t="s">
        <v>22</v>
      </c>
      <c r="M515" t="s">
        <v>22</v>
      </c>
      <c r="N515" s="3">
        <v>46203</v>
      </c>
      <c r="O515" s="6">
        <v>5834.16</v>
      </c>
    </row>
    <row r="516" spans="1:15" x14ac:dyDescent="0.3">
      <c r="A516" t="s">
        <v>562</v>
      </c>
      <c r="B516" s="3">
        <v>45848</v>
      </c>
      <c r="C516" t="s">
        <v>535</v>
      </c>
      <c r="D516" t="s">
        <v>49</v>
      </c>
      <c r="E516" t="s">
        <v>25</v>
      </c>
      <c r="F516" t="s">
        <v>51</v>
      </c>
      <c r="G516" t="s">
        <v>39</v>
      </c>
      <c r="H516" t="s">
        <v>45</v>
      </c>
      <c r="I516">
        <v>8</v>
      </c>
      <c r="J516" s="6">
        <v>480.92</v>
      </c>
      <c r="K516" s="6">
        <v>3847.36</v>
      </c>
      <c r="L516" t="s">
        <v>30</v>
      </c>
      <c r="M516" t="s">
        <v>31</v>
      </c>
      <c r="N516" s="3">
        <v>46102</v>
      </c>
      <c r="O516" s="6">
        <v>3847.36</v>
      </c>
    </row>
    <row r="517" spans="1:15" x14ac:dyDescent="0.3">
      <c r="A517" t="s">
        <v>563</v>
      </c>
      <c r="B517" s="3">
        <v>45848</v>
      </c>
      <c r="C517" t="s">
        <v>535</v>
      </c>
      <c r="D517" t="s">
        <v>17</v>
      </c>
      <c r="E517" t="s">
        <v>28</v>
      </c>
      <c r="F517" t="s">
        <v>19</v>
      </c>
      <c r="G517" t="s">
        <v>39</v>
      </c>
      <c r="H517" t="s">
        <v>21</v>
      </c>
      <c r="I517">
        <v>12</v>
      </c>
      <c r="J517" s="6">
        <v>1573.94</v>
      </c>
      <c r="K517" s="6">
        <v>18887.28</v>
      </c>
      <c r="L517" t="s">
        <v>22</v>
      </c>
      <c r="M517" t="s">
        <v>22</v>
      </c>
      <c r="N517" s="3">
        <v>46203</v>
      </c>
      <c r="O517" s="6">
        <v>18887.28</v>
      </c>
    </row>
    <row r="518" spans="1:15" x14ac:dyDescent="0.3">
      <c r="A518" t="s">
        <v>564</v>
      </c>
      <c r="B518" s="3">
        <v>45848</v>
      </c>
      <c r="C518" t="s">
        <v>535</v>
      </c>
      <c r="D518" t="s">
        <v>17</v>
      </c>
      <c r="E518" t="s">
        <v>25</v>
      </c>
      <c r="F518" t="s">
        <v>51</v>
      </c>
      <c r="G518" t="s">
        <v>20</v>
      </c>
      <c r="H518" t="s">
        <v>40</v>
      </c>
      <c r="I518">
        <v>12</v>
      </c>
      <c r="J518" s="6">
        <v>1459.54</v>
      </c>
      <c r="K518" s="6">
        <v>17514.48</v>
      </c>
      <c r="L518" t="s">
        <v>22</v>
      </c>
      <c r="M518" t="s">
        <v>22</v>
      </c>
      <c r="N518" s="3">
        <v>46203</v>
      </c>
      <c r="O518" s="6">
        <v>17514.48</v>
      </c>
    </row>
    <row r="519" spans="1:15" x14ac:dyDescent="0.3">
      <c r="A519" t="s">
        <v>565</v>
      </c>
      <c r="B519" s="3">
        <v>45848</v>
      </c>
      <c r="C519" t="s">
        <v>535</v>
      </c>
      <c r="D519" t="s">
        <v>49</v>
      </c>
      <c r="E519" t="s">
        <v>25</v>
      </c>
      <c r="F519" t="s">
        <v>19</v>
      </c>
      <c r="G519" t="s">
        <v>20</v>
      </c>
      <c r="H519" t="s">
        <v>21</v>
      </c>
      <c r="I519">
        <v>12</v>
      </c>
      <c r="J519" s="6">
        <v>511.52</v>
      </c>
      <c r="K519" s="6">
        <v>6138.24</v>
      </c>
      <c r="L519" t="s">
        <v>22</v>
      </c>
      <c r="M519" t="s">
        <v>22</v>
      </c>
      <c r="N519" s="3">
        <v>46203</v>
      </c>
      <c r="O519" s="6">
        <v>6138.24</v>
      </c>
    </row>
    <row r="520" spans="1:15" x14ac:dyDescent="0.3">
      <c r="A520" t="s">
        <v>566</v>
      </c>
      <c r="B520" s="3">
        <v>45849</v>
      </c>
      <c r="C520" t="s">
        <v>535</v>
      </c>
      <c r="D520" t="s">
        <v>24</v>
      </c>
      <c r="E520" t="s">
        <v>25</v>
      </c>
      <c r="F520" t="s">
        <v>19</v>
      </c>
      <c r="G520" t="s">
        <v>39</v>
      </c>
      <c r="H520" t="s">
        <v>21</v>
      </c>
      <c r="I520">
        <v>12</v>
      </c>
      <c r="J520" s="6">
        <v>873.42</v>
      </c>
      <c r="K520" s="6">
        <v>10481.040000000001</v>
      </c>
      <c r="L520" t="s">
        <v>22</v>
      </c>
      <c r="M520" t="s">
        <v>22</v>
      </c>
      <c r="N520" s="3">
        <v>46203</v>
      </c>
      <c r="O520" s="6">
        <v>10481.040000000001</v>
      </c>
    </row>
    <row r="521" spans="1:15" x14ac:dyDescent="0.3">
      <c r="A521" t="s">
        <v>567</v>
      </c>
      <c r="B521" s="3">
        <v>45850</v>
      </c>
      <c r="C521" t="s">
        <v>535</v>
      </c>
      <c r="D521" t="s">
        <v>17</v>
      </c>
      <c r="E521" t="s">
        <v>28</v>
      </c>
      <c r="F521" t="s">
        <v>19</v>
      </c>
      <c r="G521" t="s">
        <v>39</v>
      </c>
      <c r="H521" t="s">
        <v>45</v>
      </c>
      <c r="I521">
        <v>12</v>
      </c>
      <c r="J521" s="6">
        <v>1481.6</v>
      </c>
      <c r="K521" s="6">
        <v>17779.2</v>
      </c>
      <c r="L521" t="s">
        <v>22</v>
      </c>
      <c r="M521" t="s">
        <v>22</v>
      </c>
      <c r="N521" s="3">
        <v>46203</v>
      </c>
      <c r="O521" s="6">
        <v>17779.2</v>
      </c>
    </row>
    <row r="522" spans="1:15" x14ac:dyDescent="0.3">
      <c r="A522" t="s">
        <v>568</v>
      </c>
      <c r="B522" s="3">
        <v>45850</v>
      </c>
      <c r="C522" t="s">
        <v>535</v>
      </c>
      <c r="D522" t="s">
        <v>49</v>
      </c>
      <c r="E522" t="s">
        <v>25</v>
      </c>
      <c r="F522" t="s">
        <v>29</v>
      </c>
      <c r="G522" t="s">
        <v>26</v>
      </c>
      <c r="H522" t="s">
        <v>40</v>
      </c>
      <c r="I522">
        <v>12</v>
      </c>
      <c r="J522" s="6">
        <v>459.19</v>
      </c>
      <c r="K522" s="6">
        <v>5510.28</v>
      </c>
      <c r="L522" t="s">
        <v>22</v>
      </c>
      <c r="M522" t="s">
        <v>22</v>
      </c>
      <c r="N522" s="3">
        <v>46203</v>
      </c>
      <c r="O522" s="6">
        <v>5510.28</v>
      </c>
    </row>
    <row r="523" spans="1:15" x14ac:dyDescent="0.3">
      <c r="A523" t="s">
        <v>569</v>
      </c>
      <c r="B523" s="3">
        <v>45851</v>
      </c>
      <c r="C523" t="s">
        <v>535</v>
      </c>
      <c r="D523" t="s">
        <v>17</v>
      </c>
      <c r="E523" t="s">
        <v>28</v>
      </c>
      <c r="F523" t="s">
        <v>19</v>
      </c>
      <c r="G523" t="s">
        <v>39</v>
      </c>
      <c r="H523" t="s">
        <v>34</v>
      </c>
      <c r="I523">
        <v>12</v>
      </c>
      <c r="J523" s="6">
        <v>1545.58</v>
      </c>
      <c r="K523" s="6">
        <v>18546.96</v>
      </c>
      <c r="L523" t="s">
        <v>22</v>
      </c>
      <c r="M523" t="s">
        <v>22</v>
      </c>
      <c r="N523" s="3">
        <v>46203</v>
      </c>
      <c r="O523" s="6">
        <v>18546.96</v>
      </c>
    </row>
    <row r="524" spans="1:15" x14ac:dyDescent="0.3">
      <c r="A524" t="s">
        <v>570</v>
      </c>
      <c r="B524" s="3">
        <v>45851</v>
      </c>
      <c r="C524" t="s">
        <v>535</v>
      </c>
      <c r="D524" t="s">
        <v>49</v>
      </c>
      <c r="E524" t="s">
        <v>18</v>
      </c>
      <c r="F524" t="s">
        <v>19</v>
      </c>
      <c r="G524" t="s">
        <v>39</v>
      </c>
      <c r="H524" t="s">
        <v>21</v>
      </c>
      <c r="I524">
        <v>7</v>
      </c>
      <c r="J524" s="6">
        <v>486.83</v>
      </c>
      <c r="K524" s="6">
        <v>3407.81</v>
      </c>
      <c r="L524" t="s">
        <v>30</v>
      </c>
      <c r="M524" t="s">
        <v>43</v>
      </c>
      <c r="N524" s="3">
        <v>46077</v>
      </c>
      <c r="O524" s="6">
        <v>3407.81</v>
      </c>
    </row>
    <row r="525" spans="1:15" x14ac:dyDescent="0.3">
      <c r="A525" t="s">
        <v>571</v>
      </c>
      <c r="B525" s="3">
        <v>45851</v>
      </c>
      <c r="C525" t="s">
        <v>535</v>
      </c>
      <c r="D525" t="s">
        <v>24</v>
      </c>
      <c r="E525" t="s">
        <v>50</v>
      </c>
      <c r="F525" t="s">
        <v>33</v>
      </c>
      <c r="G525" t="s">
        <v>39</v>
      </c>
      <c r="H525" t="s">
        <v>45</v>
      </c>
      <c r="I525">
        <v>12</v>
      </c>
      <c r="J525" s="6">
        <v>961.55</v>
      </c>
      <c r="K525" s="6">
        <v>11538.6</v>
      </c>
      <c r="L525" t="s">
        <v>22</v>
      </c>
      <c r="M525" t="s">
        <v>22</v>
      </c>
      <c r="N525" s="3">
        <v>46203</v>
      </c>
      <c r="O525" s="6">
        <v>11538.6</v>
      </c>
    </row>
    <row r="526" spans="1:15" x14ac:dyDescent="0.3">
      <c r="A526" t="s">
        <v>572</v>
      </c>
      <c r="B526" s="3">
        <v>45852</v>
      </c>
      <c r="C526" t="s">
        <v>535</v>
      </c>
      <c r="D526" t="s">
        <v>24</v>
      </c>
      <c r="E526" t="s">
        <v>25</v>
      </c>
      <c r="F526" t="s">
        <v>29</v>
      </c>
      <c r="G526" t="s">
        <v>20</v>
      </c>
      <c r="H526" t="s">
        <v>40</v>
      </c>
      <c r="I526">
        <v>12</v>
      </c>
      <c r="J526" s="6">
        <v>977.67</v>
      </c>
      <c r="K526" s="6">
        <v>11732.04</v>
      </c>
      <c r="L526" t="s">
        <v>22</v>
      </c>
      <c r="M526" t="s">
        <v>22</v>
      </c>
      <c r="N526" s="3">
        <v>46203</v>
      </c>
      <c r="O526" s="6">
        <v>11732.04</v>
      </c>
    </row>
    <row r="527" spans="1:15" x14ac:dyDescent="0.3">
      <c r="A527" t="s">
        <v>573</v>
      </c>
      <c r="B527" s="3">
        <v>45852</v>
      </c>
      <c r="C527" t="s">
        <v>535</v>
      </c>
      <c r="D527" t="s">
        <v>49</v>
      </c>
      <c r="E527" t="s">
        <v>50</v>
      </c>
      <c r="F527" t="s">
        <v>29</v>
      </c>
      <c r="G527" t="s">
        <v>39</v>
      </c>
      <c r="H527" t="s">
        <v>21</v>
      </c>
      <c r="I527">
        <v>12</v>
      </c>
      <c r="J527" s="6">
        <v>458.78</v>
      </c>
      <c r="K527" s="6">
        <v>5505.36</v>
      </c>
      <c r="L527" t="s">
        <v>22</v>
      </c>
      <c r="M527" t="s">
        <v>22</v>
      </c>
      <c r="N527" s="3">
        <v>46203</v>
      </c>
      <c r="O527" s="6">
        <v>5505.36</v>
      </c>
    </row>
    <row r="528" spans="1:15" x14ac:dyDescent="0.3">
      <c r="A528" t="s">
        <v>574</v>
      </c>
      <c r="B528" s="3">
        <v>45852</v>
      </c>
      <c r="C528" t="s">
        <v>535</v>
      </c>
      <c r="D528" t="s">
        <v>49</v>
      </c>
      <c r="E528" t="s">
        <v>25</v>
      </c>
      <c r="F528" t="s">
        <v>29</v>
      </c>
      <c r="G528" t="s">
        <v>39</v>
      </c>
      <c r="H528" t="s">
        <v>21</v>
      </c>
      <c r="I528">
        <v>12</v>
      </c>
      <c r="J528" s="6">
        <v>548.39</v>
      </c>
      <c r="K528" s="6">
        <v>6580.68</v>
      </c>
      <c r="L528" t="s">
        <v>22</v>
      </c>
      <c r="M528" t="s">
        <v>22</v>
      </c>
      <c r="N528" s="3">
        <v>46203</v>
      </c>
      <c r="O528" s="6">
        <v>6580.68</v>
      </c>
    </row>
    <row r="529" spans="1:15" x14ac:dyDescent="0.3">
      <c r="A529" t="s">
        <v>575</v>
      </c>
      <c r="B529" s="3">
        <v>45853</v>
      </c>
      <c r="C529" t="s">
        <v>535</v>
      </c>
      <c r="D529" t="s">
        <v>17</v>
      </c>
      <c r="E529" t="s">
        <v>50</v>
      </c>
      <c r="F529" t="s">
        <v>19</v>
      </c>
      <c r="G529" t="s">
        <v>20</v>
      </c>
      <c r="H529" t="s">
        <v>40</v>
      </c>
      <c r="I529">
        <v>11</v>
      </c>
      <c r="J529" s="6">
        <v>1446.94</v>
      </c>
      <c r="K529" s="6">
        <v>15916.34</v>
      </c>
      <c r="L529" t="s">
        <v>22</v>
      </c>
      <c r="M529" t="s">
        <v>22</v>
      </c>
      <c r="N529" s="3">
        <v>46203</v>
      </c>
      <c r="O529" s="6">
        <v>15916.34</v>
      </c>
    </row>
    <row r="530" spans="1:15" x14ac:dyDescent="0.3">
      <c r="A530" t="s">
        <v>576</v>
      </c>
      <c r="B530" s="3">
        <v>45853</v>
      </c>
      <c r="C530" t="s">
        <v>535</v>
      </c>
      <c r="D530" t="s">
        <v>17</v>
      </c>
      <c r="E530" t="s">
        <v>50</v>
      </c>
      <c r="F530" t="s">
        <v>19</v>
      </c>
      <c r="G530" t="s">
        <v>26</v>
      </c>
      <c r="H530" t="s">
        <v>21</v>
      </c>
      <c r="I530">
        <v>11</v>
      </c>
      <c r="J530" s="6">
        <v>1539.51</v>
      </c>
      <c r="K530" s="6">
        <v>16934.61</v>
      </c>
      <c r="L530" t="s">
        <v>22</v>
      </c>
      <c r="M530" t="s">
        <v>22</v>
      </c>
      <c r="N530" s="3">
        <v>46203</v>
      </c>
      <c r="O530" s="6">
        <v>16934.61</v>
      </c>
    </row>
    <row r="531" spans="1:15" x14ac:dyDescent="0.3">
      <c r="A531" t="s">
        <v>577</v>
      </c>
      <c r="B531" s="3">
        <v>45853</v>
      </c>
      <c r="C531" t="s">
        <v>535</v>
      </c>
      <c r="D531" t="s">
        <v>24</v>
      </c>
      <c r="E531" t="s">
        <v>18</v>
      </c>
      <c r="F531" t="s">
        <v>19</v>
      </c>
      <c r="G531" t="s">
        <v>39</v>
      </c>
      <c r="H531" t="s">
        <v>40</v>
      </c>
      <c r="I531">
        <v>6</v>
      </c>
      <c r="J531" s="6">
        <v>982.92</v>
      </c>
      <c r="K531" s="6">
        <v>5897.52</v>
      </c>
      <c r="L531" t="s">
        <v>30</v>
      </c>
      <c r="M531" t="s">
        <v>36</v>
      </c>
      <c r="N531" s="3">
        <v>46023</v>
      </c>
      <c r="O531" s="6">
        <v>5897.52</v>
      </c>
    </row>
    <row r="532" spans="1:15" x14ac:dyDescent="0.3">
      <c r="A532" t="s">
        <v>578</v>
      </c>
      <c r="B532" s="3">
        <v>45854</v>
      </c>
      <c r="C532" t="s">
        <v>535</v>
      </c>
      <c r="D532" t="s">
        <v>17</v>
      </c>
      <c r="E532" t="s">
        <v>18</v>
      </c>
      <c r="F532" t="s">
        <v>19</v>
      </c>
      <c r="G532" t="s">
        <v>39</v>
      </c>
      <c r="H532" t="s">
        <v>21</v>
      </c>
      <c r="I532">
        <v>11</v>
      </c>
      <c r="J532" s="6">
        <v>1472.36</v>
      </c>
      <c r="K532" s="6">
        <v>16195.96</v>
      </c>
      <c r="L532" t="s">
        <v>22</v>
      </c>
      <c r="M532" t="s">
        <v>22</v>
      </c>
      <c r="N532" s="3">
        <v>46203</v>
      </c>
      <c r="O532" s="6">
        <v>16195.96</v>
      </c>
    </row>
    <row r="533" spans="1:15" x14ac:dyDescent="0.3">
      <c r="A533" t="s">
        <v>579</v>
      </c>
      <c r="B533" s="3">
        <v>45855</v>
      </c>
      <c r="C533" t="s">
        <v>535</v>
      </c>
      <c r="D533" t="s">
        <v>49</v>
      </c>
      <c r="E533" t="s">
        <v>25</v>
      </c>
      <c r="F533" t="s">
        <v>33</v>
      </c>
      <c r="G533" t="s">
        <v>39</v>
      </c>
      <c r="H533" t="s">
        <v>45</v>
      </c>
      <c r="I533">
        <v>11</v>
      </c>
      <c r="J533" s="6">
        <v>460.52</v>
      </c>
      <c r="K533" s="6">
        <v>5065.72</v>
      </c>
      <c r="L533" t="s">
        <v>22</v>
      </c>
      <c r="M533" t="s">
        <v>22</v>
      </c>
      <c r="N533" s="3">
        <v>46203</v>
      </c>
      <c r="O533" s="6">
        <v>5065.72</v>
      </c>
    </row>
    <row r="534" spans="1:15" x14ac:dyDescent="0.3">
      <c r="A534" t="s">
        <v>580</v>
      </c>
      <c r="B534" s="3">
        <v>45855</v>
      </c>
      <c r="C534" t="s">
        <v>535</v>
      </c>
      <c r="D534" t="s">
        <v>24</v>
      </c>
      <c r="E534" t="s">
        <v>50</v>
      </c>
      <c r="F534" t="s">
        <v>51</v>
      </c>
      <c r="G534" t="s">
        <v>39</v>
      </c>
      <c r="H534" t="s">
        <v>21</v>
      </c>
      <c r="I534">
        <v>11</v>
      </c>
      <c r="J534" s="6">
        <v>955.06</v>
      </c>
      <c r="K534" s="6">
        <v>10505.66</v>
      </c>
      <c r="L534" t="s">
        <v>22</v>
      </c>
      <c r="M534" t="s">
        <v>22</v>
      </c>
      <c r="N534" s="3">
        <v>46203</v>
      </c>
      <c r="O534" s="6">
        <v>10505.66</v>
      </c>
    </row>
    <row r="535" spans="1:15" x14ac:dyDescent="0.3">
      <c r="A535" t="s">
        <v>581</v>
      </c>
      <c r="B535" s="3">
        <v>45855</v>
      </c>
      <c r="C535" t="s">
        <v>535</v>
      </c>
      <c r="D535" t="s">
        <v>24</v>
      </c>
      <c r="E535" t="s">
        <v>50</v>
      </c>
      <c r="F535" t="s">
        <v>33</v>
      </c>
      <c r="G535" t="s">
        <v>20</v>
      </c>
      <c r="H535" t="s">
        <v>21</v>
      </c>
      <c r="I535">
        <v>3</v>
      </c>
      <c r="J535" s="6">
        <v>862.34</v>
      </c>
      <c r="K535" s="6">
        <v>2587.02</v>
      </c>
      <c r="L535" t="s">
        <v>30</v>
      </c>
      <c r="M535" t="s">
        <v>36</v>
      </c>
      <c r="N535" s="3">
        <v>45948</v>
      </c>
      <c r="O535" s="6">
        <v>2587.02</v>
      </c>
    </row>
    <row r="536" spans="1:15" x14ac:dyDescent="0.3">
      <c r="A536" t="s">
        <v>582</v>
      </c>
      <c r="B536" s="3">
        <v>45855</v>
      </c>
      <c r="C536" t="s">
        <v>535</v>
      </c>
      <c r="D536" t="s">
        <v>24</v>
      </c>
      <c r="E536" t="s">
        <v>28</v>
      </c>
      <c r="F536" t="s">
        <v>29</v>
      </c>
      <c r="G536" t="s">
        <v>39</v>
      </c>
      <c r="H536" t="s">
        <v>45</v>
      </c>
      <c r="I536">
        <v>11</v>
      </c>
      <c r="J536" s="6">
        <v>848.67</v>
      </c>
      <c r="K536" s="6">
        <v>9335.3700000000008</v>
      </c>
      <c r="L536" t="s">
        <v>22</v>
      </c>
      <c r="M536" t="s">
        <v>22</v>
      </c>
      <c r="N536" s="3">
        <v>46203</v>
      </c>
      <c r="O536" s="6">
        <v>9335.3700000000008</v>
      </c>
    </row>
    <row r="537" spans="1:15" x14ac:dyDescent="0.3">
      <c r="A537" t="s">
        <v>583</v>
      </c>
      <c r="B537" s="3">
        <v>45856</v>
      </c>
      <c r="C537" t="s">
        <v>535</v>
      </c>
      <c r="D537" t="s">
        <v>49</v>
      </c>
      <c r="E537" t="s">
        <v>18</v>
      </c>
      <c r="F537" t="s">
        <v>33</v>
      </c>
      <c r="G537" t="s">
        <v>39</v>
      </c>
      <c r="H537" t="s">
        <v>34</v>
      </c>
      <c r="I537">
        <v>11</v>
      </c>
      <c r="J537" s="6">
        <v>499.87</v>
      </c>
      <c r="K537" s="6">
        <v>5498.57</v>
      </c>
      <c r="L537" t="s">
        <v>22</v>
      </c>
      <c r="M537" t="s">
        <v>22</v>
      </c>
      <c r="N537" s="3">
        <v>46203</v>
      </c>
      <c r="O537" s="6">
        <v>5498.57</v>
      </c>
    </row>
    <row r="538" spans="1:15" x14ac:dyDescent="0.3">
      <c r="A538" t="s">
        <v>584</v>
      </c>
      <c r="B538" s="3">
        <v>45856</v>
      </c>
      <c r="C538" t="s">
        <v>535</v>
      </c>
      <c r="D538" t="s">
        <v>24</v>
      </c>
      <c r="E538" t="s">
        <v>25</v>
      </c>
      <c r="F538" t="s">
        <v>19</v>
      </c>
      <c r="G538" t="s">
        <v>39</v>
      </c>
      <c r="H538" t="s">
        <v>21</v>
      </c>
      <c r="I538">
        <v>5</v>
      </c>
      <c r="J538" s="6">
        <v>889.97</v>
      </c>
      <c r="K538" s="6">
        <v>4449.8500000000004</v>
      </c>
      <c r="L538" t="s">
        <v>30</v>
      </c>
      <c r="M538" t="s">
        <v>36</v>
      </c>
      <c r="N538" s="3">
        <v>46002</v>
      </c>
      <c r="O538" s="6">
        <v>4449.8500000000004</v>
      </c>
    </row>
    <row r="539" spans="1:15" x14ac:dyDescent="0.3">
      <c r="A539" t="s">
        <v>585</v>
      </c>
      <c r="B539" s="3">
        <v>45856</v>
      </c>
      <c r="C539" t="s">
        <v>535</v>
      </c>
      <c r="D539" t="s">
        <v>24</v>
      </c>
      <c r="E539" t="s">
        <v>28</v>
      </c>
      <c r="F539" t="s">
        <v>33</v>
      </c>
      <c r="G539" t="s">
        <v>39</v>
      </c>
      <c r="H539" t="s">
        <v>45</v>
      </c>
      <c r="I539">
        <v>11</v>
      </c>
      <c r="J539" s="6">
        <v>933.72</v>
      </c>
      <c r="K539" s="6">
        <v>10270.92</v>
      </c>
      <c r="L539" t="s">
        <v>30</v>
      </c>
      <c r="M539" t="s">
        <v>36</v>
      </c>
      <c r="N539" s="3">
        <v>46188</v>
      </c>
      <c r="O539" s="6">
        <v>10270.92</v>
      </c>
    </row>
    <row r="540" spans="1:15" x14ac:dyDescent="0.3">
      <c r="A540" t="s">
        <v>586</v>
      </c>
      <c r="B540" s="3">
        <v>45856</v>
      </c>
      <c r="C540" t="s">
        <v>535</v>
      </c>
      <c r="D540" t="s">
        <v>24</v>
      </c>
      <c r="E540" t="s">
        <v>25</v>
      </c>
      <c r="F540" t="s">
        <v>33</v>
      </c>
      <c r="G540" t="s">
        <v>26</v>
      </c>
      <c r="H540" t="s">
        <v>21</v>
      </c>
      <c r="I540">
        <v>11</v>
      </c>
      <c r="J540" s="6">
        <v>869.24</v>
      </c>
      <c r="K540" s="6">
        <v>9561.64</v>
      </c>
      <c r="L540" t="s">
        <v>22</v>
      </c>
      <c r="M540" t="s">
        <v>22</v>
      </c>
      <c r="N540" s="3">
        <v>46203</v>
      </c>
      <c r="O540" s="6">
        <v>9561.64</v>
      </c>
    </row>
    <row r="541" spans="1:15" x14ac:dyDescent="0.3">
      <c r="A541" t="s">
        <v>587</v>
      </c>
      <c r="B541" s="3">
        <v>45856</v>
      </c>
      <c r="C541" t="s">
        <v>535</v>
      </c>
      <c r="D541" t="s">
        <v>49</v>
      </c>
      <c r="E541" t="s">
        <v>50</v>
      </c>
      <c r="F541" t="s">
        <v>38</v>
      </c>
      <c r="G541" t="s">
        <v>39</v>
      </c>
      <c r="H541" t="s">
        <v>21</v>
      </c>
      <c r="I541">
        <v>11</v>
      </c>
      <c r="J541" s="6">
        <v>526.14</v>
      </c>
      <c r="K541" s="6">
        <v>5787.54</v>
      </c>
      <c r="L541" t="s">
        <v>22</v>
      </c>
      <c r="M541" t="s">
        <v>22</v>
      </c>
      <c r="N541" s="3">
        <v>46203</v>
      </c>
      <c r="O541" s="6">
        <v>5787.54</v>
      </c>
    </row>
    <row r="542" spans="1:15" x14ac:dyDescent="0.3">
      <c r="A542" t="s">
        <v>588</v>
      </c>
      <c r="B542" s="3">
        <v>45857</v>
      </c>
      <c r="C542" t="s">
        <v>535</v>
      </c>
      <c r="D542" t="s">
        <v>24</v>
      </c>
      <c r="E542" t="s">
        <v>25</v>
      </c>
      <c r="F542" t="s">
        <v>29</v>
      </c>
      <c r="G542" t="s">
        <v>20</v>
      </c>
      <c r="H542" t="s">
        <v>40</v>
      </c>
      <c r="I542">
        <v>11</v>
      </c>
      <c r="J542" s="6">
        <v>972.06</v>
      </c>
      <c r="K542" s="6">
        <v>10692.66</v>
      </c>
      <c r="L542" t="s">
        <v>22</v>
      </c>
      <c r="M542" t="s">
        <v>22</v>
      </c>
      <c r="N542" s="3">
        <v>46203</v>
      </c>
      <c r="O542" s="6">
        <v>10692.66</v>
      </c>
    </row>
    <row r="543" spans="1:15" x14ac:dyDescent="0.3">
      <c r="A543" t="s">
        <v>589</v>
      </c>
      <c r="B543" s="3">
        <v>45857</v>
      </c>
      <c r="C543" t="s">
        <v>535</v>
      </c>
      <c r="D543" t="s">
        <v>24</v>
      </c>
      <c r="E543" t="s">
        <v>28</v>
      </c>
      <c r="F543" t="s">
        <v>29</v>
      </c>
      <c r="G543" t="s">
        <v>39</v>
      </c>
      <c r="H543" t="s">
        <v>40</v>
      </c>
      <c r="I543">
        <v>11</v>
      </c>
      <c r="J543" s="6">
        <v>929.73</v>
      </c>
      <c r="K543" s="6">
        <v>10227.030000000001</v>
      </c>
      <c r="L543" t="s">
        <v>22</v>
      </c>
      <c r="M543" t="s">
        <v>22</v>
      </c>
      <c r="N543" s="3">
        <v>46203</v>
      </c>
      <c r="O543" s="6">
        <v>10227.030000000001</v>
      </c>
    </row>
    <row r="544" spans="1:15" x14ac:dyDescent="0.3">
      <c r="A544" t="s">
        <v>590</v>
      </c>
      <c r="B544" s="3">
        <v>45857</v>
      </c>
      <c r="C544" t="s">
        <v>535</v>
      </c>
      <c r="D544" t="s">
        <v>24</v>
      </c>
      <c r="E544" t="s">
        <v>25</v>
      </c>
      <c r="F544" t="s">
        <v>38</v>
      </c>
      <c r="G544" t="s">
        <v>20</v>
      </c>
      <c r="H544" t="s">
        <v>21</v>
      </c>
      <c r="I544">
        <v>11</v>
      </c>
      <c r="J544" s="6">
        <v>965.26</v>
      </c>
      <c r="K544" s="6">
        <v>10617.86</v>
      </c>
      <c r="L544" t="s">
        <v>22</v>
      </c>
      <c r="M544" t="s">
        <v>22</v>
      </c>
      <c r="N544" s="3">
        <v>46203</v>
      </c>
      <c r="O544" s="6">
        <v>10617.86</v>
      </c>
    </row>
    <row r="545" spans="1:15" x14ac:dyDescent="0.3">
      <c r="A545" t="s">
        <v>591</v>
      </c>
      <c r="B545" s="3">
        <v>45857</v>
      </c>
      <c r="C545" t="s">
        <v>535</v>
      </c>
      <c r="D545" t="s">
        <v>49</v>
      </c>
      <c r="E545" t="s">
        <v>50</v>
      </c>
      <c r="F545" t="s">
        <v>33</v>
      </c>
      <c r="G545" t="s">
        <v>39</v>
      </c>
      <c r="H545" t="s">
        <v>34</v>
      </c>
      <c r="I545">
        <v>11</v>
      </c>
      <c r="J545" s="6">
        <v>479.31</v>
      </c>
      <c r="K545" s="6">
        <v>5272.41</v>
      </c>
      <c r="L545" t="s">
        <v>22</v>
      </c>
      <c r="M545" t="s">
        <v>22</v>
      </c>
      <c r="N545" s="3">
        <v>46203</v>
      </c>
      <c r="O545" s="6">
        <v>5272.41</v>
      </c>
    </row>
    <row r="546" spans="1:15" x14ac:dyDescent="0.3">
      <c r="A546" t="s">
        <v>592</v>
      </c>
      <c r="B546" s="3">
        <v>45857</v>
      </c>
      <c r="C546" t="s">
        <v>535</v>
      </c>
      <c r="D546" t="s">
        <v>24</v>
      </c>
      <c r="E546" t="s">
        <v>25</v>
      </c>
      <c r="F546" t="s">
        <v>38</v>
      </c>
      <c r="G546" t="s">
        <v>20</v>
      </c>
      <c r="H546" t="s">
        <v>21</v>
      </c>
      <c r="I546">
        <v>11</v>
      </c>
      <c r="J546" s="6">
        <v>980.73</v>
      </c>
      <c r="K546" s="6">
        <v>10788.03</v>
      </c>
      <c r="L546" t="s">
        <v>22</v>
      </c>
      <c r="M546" t="s">
        <v>22</v>
      </c>
      <c r="N546" s="3">
        <v>46203</v>
      </c>
      <c r="O546" s="6">
        <v>10788.03</v>
      </c>
    </row>
    <row r="547" spans="1:15" x14ac:dyDescent="0.3">
      <c r="A547" t="s">
        <v>593</v>
      </c>
      <c r="B547" s="3">
        <v>45858</v>
      </c>
      <c r="C547" t="s">
        <v>535</v>
      </c>
      <c r="D547" t="s">
        <v>24</v>
      </c>
      <c r="E547" t="s">
        <v>25</v>
      </c>
      <c r="F547" t="s">
        <v>29</v>
      </c>
      <c r="G547" t="s">
        <v>20</v>
      </c>
      <c r="H547" t="s">
        <v>21</v>
      </c>
      <c r="I547">
        <v>11</v>
      </c>
      <c r="J547" s="6">
        <v>861.49</v>
      </c>
      <c r="K547" s="6">
        <v>9476.39</v>
      </c>
      <c r="L547" t="s">
        <v>22</v>
      </c>
      <c r="M547" t="s">
        <v>22</v>
      </c>
      <c r="N547" s="3">
        <v>46203</v>
      </c>
      <c r="O547" s="6">
        <v>9476.39</v>
      </c>
    </row>
    <row r="548" spans="1:15" x14ac:dyDescent="0.3">
      <c r="A548" t="s">
        <v>594</v>
      </c>
      <c r="B548" s="3">
        <v>45858</v>
      </c>
      <c r="C548" t="s">
        <v>535</v>
      </c>
      <c r="D548" t="s">
        <v>17</v>
      </c>
      <c r="E548" t="s">
        <v>28</v>
      </c>
      <c r="F548" t="s">
        <v>33</v>
      </c>
      <c r="G548" t="s">
        <v>20</v>
      </c>
      <c r="H548" t="s">
        <v>34</v>
      </c>
      <c r="I548">
        <v>11</v>
      </c>
      <c r="J548" s="6">
        <v>1548.41</v>
      </c>
      <c r="K548" s="6">
        <v>17032.509999999998</v>
      </c>
      <c r="L548" t="s">
        <v>22</v>
      </c>
      <c r="M548" t="s">
        <v>22</v>
      </c>
      <c r="N548" s="3">
        <v>46203</v>
      </c>
      <c r="O548" s="6">
        <v>17032.509999999998</v>
      </c>
    </row>
    <row r="549" spans="1:15" x14ac:dyDescent="0.3">
      <c r="A549" t="s">
        <v>595</v>
      </c>
      <c r="B549" s="3">
        <v>45859</v>
      </c>
      <c r="C549" t="s">
        <v>535</v>
      </c>
      <c r="D549" t="s">
        <v>24</v>
      </c>
      <c r="E549" t="s">
        <v>50</v>
      </c>
      <c r="F549" t="s">
        <v>19</v>
      </c>
      <c r="G549" t="s">
        <v>20</v>
      </c>
      <c r="H549" t="s">
        <v>40</v>
      </c>
      <c r="I549">
        <v>11</v>
      </c>
      <c r="J549" s="6">
        <v>833.98</v>
      </c>
      <c r="K549" s="6">
        <v>9173.7800000000007</v>
      </c>
      <c r="L549" t="s">
        <v>22</v>
      </c>
      <c r="M549" t="s">
        <v>22</v>
      </c>
      <c r="N549" s="3">
        <v>46203</v>
      </c>
      <c r="O549" s="6">
        <v>9173.7800000000007</v>
      </c>
    </row>
    <row r="550" spans="1:15" x14ac:dyDescent="0.3">
      <c r="A550" t="s">
        <v>596</v>
      </c>
      <c r="B550" s="3">
        <v>45859</v>
      </c>
      <c r="C550" t="s">
        <v>535</v>
      </c>
      <c r="D550" t="s">
        <v>24</v>
      </c>
      <c r="E550" t="s">
        <v>28</v>
      </c>
      <c r="F550" t="s">
        <v>29</v>
      </c>
      <c r="G550" t="s">
        <v>39</v>
      </c>
      <c r="H550" t="s">
        <v>21</v>
      </c>
      <c r="I550">
        <v>11</v>
      </c>
      <c r="J550" s="6">
        <v>885.07</v>
      </c>
      <c r="K550" s="6">
        <v>9735.77</v>
      </c>
      <c r="L550" t="s">
        <v>22</v>
      </c>
      <c r="M550" t="s">
        <v>22</v>
      </c>
      <c r="N550" s="3">
        <v>46203</v>
      </c>
      <c r="O550" s="6">
        <v>9735.77</v>
      </c>
    </row>
    <row r="551" spans="1:15" x14ac:dyDescent="0.3">
      <c r="A551" t="s">
        <v>597</v>
      </c>
      <c r="B551" s="3">
        <v>45860</v>
      </c>
      <c r="C551" t="s">
        <v>535</v>
      </c>
      <c r="D551" t="s">
        <v>49</v>
      </c>
      <c r="E551" t="s">
        <v>28</v>
      </c>
      <c r="F551" t="s">
        <v>38</v>
      </c>
      <c r="G551" t="s">
        <v>20</v>
      </c>
      <c r="H551" t="s">
        <v>45</v>
      </c>
      <c r="I551">
        <v>11</v>
      </c>
      <c r="J551" s="6">
        <v>528.12</v>
      </c>
      <c r="K551" s="6">
        <v>5809.32</v>
      </c>
      <c r="L551" t="s">
        <v>22</v>
      </c>
      <c r="M551" t="s">
        <v>22</v>
      </c>
      <c r="N551" s="3">
        <v>46203</v>
      </c>
      <c r="O551" s="6">
        <v>5809.32</v>
      </c>
    </row>
    <row r="552" spans="1:15" x14ac:dyDescent="0.3">
      <c r="A552" t="s">
        <v>598</v>
      </c>
      <c r="B552" s="3">
        <v>45860</v>
      </c>
      <c r="C552" t="s">
        <v>535</v>
      </c>
      <c r="D552" t="s">
        <v>17</v>
      </c>
      <c r="E552" t="s">
        <v>18</v>
      </c>
      <c r="F552" t="s">
        <v>19</v>
      </c>
      <c r="G552" t="s">
        <v>39</v>
      </c>
      <c r="H552" t="s">
        <v>34</v>
      </c>
      <c r="I552">
        <v>11</v>
      </c>
      <c r="J552" s="6">
        <v>1435.11</v>
      </c>
      <c r="K552" s="6">
        <v>15786.21</v>
      </c>
      <c r="L552" t="s">
        <v>22</v>
      </c>
      <c r="M552" t="s">
        <v>22</v>
      </c>
      <c r="N552" s="3">
        <v>46203</v>
      </c>
      <c r="O552" s="6">
        <v>15786.21</v>
      </c>
    </row>
    <row r="553" spans="1:15" x14ac:dyDescent="0.3">
      <c r="A553" t="s">
        <v>599</v>
      </c>
      <c r="B553" s="3">
        <v>45860</v>
      </c>
      <c r="C553" t="s">
        <v>535</v>
      </c>
      <c r="D553" t="s">
        <v>17</v>
      </c>
      <c r="E553" t="s">
        <v>50</v>
      </c>
      <c r="F553" t="s">
        <v>19</v>
      </c>
      <c r="G553" t="s">
        <v>26</v>
      </c>
      <c r="H553" t="s">
        <v>40</v>
      </c>
      <c r="I553">
        <v>8</v>
      </c>
      <c r="J553" s="6">
        <v>1403</v>
      </c>
      <c r="K553" s="6">
        <v>11224</v>
      </c>
      <c r="L553" t="s">
        <v>30</v>
      </c>
      <c r="M553" t="s">
        <v>41</v>
      </c>
      <c r="N553" s="3">
        <v>46089</v>
      </c>
      <c r="O553" s="6">
        <v>11224</v>
      </c>
    </row>
    <row r="554" spans="1:15" x14ac:dyDescent="0.3">
      <c r="A554" t="s">
        <v>600</v>
      </c>
      <c r="B554" s="3">
        <v>45860</v>
      </c>
      <c r="C554" t="s">
        <v>535</v>
      </c>
      <c r="D554" t="s">
        <v>49</v>
      </c>
      <c r="E554" t="s">
        <v>50</v>
      </c>
      <c r="F554" t="s">
        <v>33</v>
      </c>
      <c r="G554" t="s">
        <v>20</v>
      </c>
      <c r="H554" t="s">
        <v>34</v>
      </c>
      <c r="I554">
        <v>11</v>
      </c>
      <c r="J554" s="6">
        <v>540.19000000000005</v>
      </c>
      <c r="K554" s="6">
        <v>5942.09</v>
      </c>
      <c r="L554" t="s">
        <v>22</v>
      </c>
      <c r="M554" t="s">
        <v>22</v>
      </c>
      <c r="N554" s="3">
        <v>46203</v>
      </c>
      <c r="O554" s="6">
        <v>5942.09</v>
      </c>
    </row>
    <row r="555" spans="1:15" x14ac:dyDescent="0.3">
      <c r="A555" t="s">
        <v>601</v>
      </c>
      <c r="B555" s="3">
        <v>45860</v>
      </c>
      <c r="C555" t="s">
        <v>535</v>
      </c>
      <c r="D555" t="s">
        <v>49</v>
      </c>
      <c r="E555" t="s">
        <v>28</v>
      </c>
      <c r="F555" t="s">
        <v>38</v>
      </c>
      <c r="G555" t="s">
        <v>20</v>
      </c>
      <c r="H555" t="s">
        <v>40</v>
      </c>
      <c r="I555">
        <v>11</v>
      </c>
      <c r="J555" s="6">
        <v>531.97</v>
      </c>
      <c r="K555" s="6">
        <v>5851.67</v>
      </c>
      <c r="L555" t="s">
        <v>22</v>
      </c>
      <c r="M555" t="s">
        <v>22</v>
      </c>
      <c r="N555" s="3">
        <v>46203</v>
      </c>
      <c r="O555" s="6">
        <v>5851.67</v>
      </c>
    </row>
    <row r="556" spans="1:15" x14ac:dyDescent="0.3">
      <c r="A556" t="s">
        <v>602</v>
      </c>
      <c r="B556" s="3">
        <v>45860</v>
      </c>
      <c r="C556" t="s">
        <v>535</v>
      </c>
      <c r="D556" t="s">
        <v>24</v>
      </c>
      <c r="E556" t="s">
        <v>18</v>
      </c>
      <c r="F556" t="s">
        <v>33</v>
      </c>
      <c r="G556" t="s">
        <v>39</v>
      </c>
      <c r="H556" t="s">
        <v>40</v>
      </c>
      <c r="I556">
        <v>9</v>
      </c>
      <c r="J556" s="6">
        <v>871.45</v>
      </c>
      <c r="K556" s="6">
        <v>7843.05</v>
      </c>
      <c r="L556" t="s">
        <v>30</v>
      </c>
      <c r="M556" t="s">
        <v>41</v>
      </c>
      <c r="N556" s="3">
        <v>46134</v>
      </c>
      <c r="O556" s="6">
        <v>7843.05</v>
      </c>
    </row>
    <row r="557" spans="1:15" x14ac:dyDescent="0.3">
      <c r="A557" t="s">
        <v>603</v>
      </c>
      <c r="B557" s="3">
        <v>45860</v>
      </c>
      <c r="C557" t="s">
        <v>535</v>
      </c>
      <c r="D557" t="s">
        <v>17</v>
      </c>
      <c r="E557" t="s">
        <v>50</v>
      </c>
      <c r="F557" t="s">
        <v>29</v>
      </c>
      <c r="G557" t="s">
        <v>39</v>
      </c>
      <c r="H557" t="s">
        <v>21</v>
      </c>
      <c r="I557">
        <v>11</v>
      </c>
      <c r="J557" s="6">
        <v>1541.29</v>
      </c>
      <c r="K557" s="6">
        <v>16954.189999999999</v>
      </c>
      <c r="L557" t="s">
        <v>22</v>
      </c>
      <c r="M557" t="s">
        <v>22</v>
      </c>
      <c r="N557" s="3">
        <v>46203</v>
      </c>
      <c r="O557" s="6">
        <v>16954.189999999999</v>
      </c>
    </row>
    <row r="558" spans="1:15" x14ac:dyDescent="0.3">
      <c r="A558" t="s">
        <v>604</v>
      </c>
      <c r="B558" s="3">
        <v>45861</v>
      </c>
      <c r="C558" t="s">
        <v>535</v>
      </c>
      <c r="D558" t="s">
        <v>49</v>
      </c>
      <c r="E558" t="s">
        <v>18</v>
      </c>
      <c r="F558" t="s">
        <v>19</v>
      </c>
      <c r="G558" t="s">
        <v>39</v>
      </c>
      <c r="H558" t="s">
        <v>21</v>
      </c>
      <c r="I558">
        <v>11</v>
      </c>
      <c r="J558" s="6">
        <v>528.89</v>
      </c>
      <c r="K558" s="6">
        <v>5817.79</v>
      </c>
      <c r="L558" t="s">
        <v>22</v>
      </c>
      <c r="M558" t="s">
        <v>22</v>
      </c>
      <c r="N558" s="3">
        <v>46203</v>
      </c>
      <c r="O558" s="6">
        <v>5817.79</v>
      </c>
    </row>
    <row r="559" spans="1:15" x14ac:dyDescent="0.3">
      <c r="A559" t="s">
        <v>605</v>
      </c>
      <c r="B559" s="3">
        <v>45862</v>
      </c>
      <c r="C559" t="s">
        <v>535</v>
      </c>
      <c r="D559" t="s">
        <v>24</v>
      </c>
      <c r="E559" t="s">
        <v>18</v>
      </c>
      <c r="F559" t="s">
        <v>19</v>
      </c>
      <c r="G559" t="s">
        <v>39</v>
      </c>
      <c r="H559" t="s">
        <v>21</v>
      </c>
      <c r="I559">
        <v>11</v>
      </c>
      <c r="J559" s="6">
        <v>821.89</v>
      </c>
      <c r="K559" s="6">
        <v>9040.7900000000009</v>
      </c>
      <c r="L559" t="s">
        <v>22</v>
      </c>
      <c r="M559" t="s">
        <v>22</v>
      </c>
      <c r="N559" s="3">
        <v>46203</v>
      </c>
      <c r="O559" s="6">
        <v>9040.7900000000009</v>
      </c>
    </row>
    <row r="560" spans="1:15" x14ac:dyDescent="0.3">
      <c r="A560" t="s">
        <v>606</v>
      </c>
      <c r="B560" s="3">
        <v>45864</v>
      </c>
      <c r="C560" t="s">
        <v>535</v>
      </c>
      <c r="D560" t="s">
        <v>49</v>
      </c>
      <c r="E560" t="s">
        <v>28</v>
      </c>
      <c r="F560" t="s">
        <v>29</v>
      </c>
      <c r="G560" t="s">
        <v>20</v>
      </c>
      <c r="H560" t="s">
        <v>21</v>
      </c>
      <c r="I560">
        <v>11</v>
      </c>
      <c r="J560" s="6">
        <v>516.70000000000005</v>
      </c>
      <c r="K560" s="6">
        <v>5683.7</v>
      </c>
      <c r="L560" t="s">
        <v>22</v>
      </c>
      <c r="M560" t="s">
        <v>22</v>
      </c>
      <c r="N560" s="3">
        <v>46203</v>
      </c>
      <c r="O560" s="6">
        <v>5683.7</v>
      </c>
    </row>
    <row r="561" spans="1:15" x14ac:dyDescent="0.3">
      <c r="A561" t="s">
        <v>607</v>
      </c>
      <c r="B561" s="3">
        <v>45864</v>
      </c>
      <c r="C561" t="s">
        <v>535</v>
      </c>
      <c r="D561" t="s">
        <v>24</v>
      </c>
      <c r="E561" t="s">
        <v>18</v>
      </c>
      <c r="F561" t="s">
        <v>29</v>
      </c>
      <c r="G561" t="s">
        <v>39</v>
      </c>
      <c r="H561" t="s">
        <v>40</v>
      </c>
      <c r="I561">
        <v>11</v>
      </c>
      <c r="J561" s="6">
        <v>918.36</v>
      </c>
      <c r="K561" s="6">
        <v>10101.959999999999</v>
      </c>
      <c r="L561" t="s">
        <v>22</v>
      </c>
      <c r="M561" t="s">
        <v>22</v>
      </c>
      <c r="N561" s="3">
        <v>46203</v>
      </c>
      <c r="O561" s="6">
        <v>10101.959999999999</v>
      </c>
    </row>
    <row r="562" spans="1:15" x14ac:dyDescent="0.3">
      <c r="A562" t="s">
        <v>608</v>
      </c>
      <c r="B562" s="3">
        <v>45864</v>
      </c>
      <c r="C562" t="s">
        <v>535</v>
      </c>
      <c r="D562" t="s">
        <v>17</v>
      </c>
      <c r="E562" t="s">
        <v>28</v>
      </c>
      <c r="F562" t="s">
        <v>33</v>
      </c>
      <c r="G562" t="s">
        <v>39</v>
      </c>
      <c r="H562" t="s">
        <v>21</v>
      </c>
      <c r="I562">
        <v>11</v>
      </c>
      <c r="J562" s="6">
        <v>1475.4</v>
      </c>
      <c r="K562" s="6">
        <v>16229.4</v>
      </c>
      <c r="L562" t="s">
        <v>22</v>
      </c>
      <c r="M562" t="s">
        <v>22</v>
      </c>
      <c r="N562" s="3">
        <v>46203</v>
      </c>
      <c r="O562" s="6">
        <v>16229.4</v>
      </c>
    </row>
    <row r="563" spans="1:15" x14ac:dyDescent="0.3">
      <c r="A563" t="s">
        <v>609</v>
      </c>
      <c r="B563" s="3">
        <v>45864</v>
      </c>
      <c r="C563" t="s">
        <v>535</v>
      </c>
      <c r="D563" t="s">
        <v>24</v>
      </c>
      <c r="E563" t="s">
        <v>50</v>
      </c>
      <c r="F563" t="s">
        <v>19</v>
      </c>
      <c r="G563" t="s">
        <v>26</v>
      </c>
      <c r="H563" t="s">
        <v>45</v>
      </c>
      <c r="I563">
        <v>11</v>
      </c>
      <c r="J563" s="6">
        <v>871.61</v>
      </c>
      <c r="K563" s="6">
        <v>9587.7099999999991</v>
      </c>
      <c r="L563" t="s">
        <v>22</v>
      </c>
      <c r="M563" t="s">
        <v>22</v>
      </c>
      <c r="N563" s="3">
        <v>46203</v>
      </c>
      <c r="O563" s="6">
        <v>9587.7099999999991</v>
      </c>
    </row>
    <row r="564" spans="1:15" x14ac:dyDescent="0.3">
      <c r="A564" t="s">
        <v>610</v>
      </c>
      <c r="B564" s="3">
        <v>45864</v>
      </c>
      <c r="C564" t="s">
        <v>535</v>
      </c>
      <c r="D564" t="s">
        <v>17</v>
      </c>
      <c r="E564" t="s">
        <v>50</v>
      </c>
      <c r="F564" t="s">
        <v>33</v>
      </c>
      <c r="G564" t="s">
        <v>20</v>
      </c>
      <c r="H564" t="s">
        <v>40</v>
      </c>
      <c r="I564">
        <v>11</v>
      </c>
      <c r="J564" s="6">
        <v>1604.14</v>
      </c>
      <c r="K564" s="6">
        <v>17645.54</v>
      </c>
      <c r="L564" t="s">
        <v>22</v>
      </c>
      <c r="M564" t="s">
        <v>22</v>
      </c>
      <c r="N564" s="3">
        <v>46203</v>
      </c>
      <c r="O564" s="6">
        <v>17645.54</v>
      </c>
    </row>
    <row r="565" spans="1:15" x14ac:dyDescent="0.3">
      <c r="A565" t="s">
        <v>611</v>
      </c>
      <c r="B565" s="3">
        <v>45865</v>
      </c>
      <c r="C565" t="s">
        <v>535</v>
      </c>
      <c r="D565" t="s">
        <v>17</v>
      </c>
      <c r="E565" t="s">
        <v>28</v>
      </c>
      <c r="F565" t="s">
        <v>29</v>
      </c>
      <c r="G565" t="s">
        <v>39</v>
      </c>
      <c r="H565" t="s">
        <v>21</v>
      </c>
      <c r="I565">
        <v>11</v>
      </c>
      <c r="J565" s="6">
        <v>1421</v>
      </c>
      <c r="K565" s="6">
        <v>15631</v>
      </c>
      <c r="L565" t="s">
        <v>22</v>
      </c>
      <c r="M565" t="s">
        <v>22</v>
      </c>
      <c r="N565" s="3">
        <v>46203</v>
      </c>
      <c r="O565" s="6">
        <v>15631</v>
      </c>
    </row>
    <row r="566" spans="1:15" x14ac:dyDescent="0.3">
      <c r="A566" t="s">
        <v>612</v>
      </c>
      <c r="B566" s="3">
        <v>45865</v>
      </c>
      <c r="C566" t="s">
        <v>535</v>
      </c>
      <c r="D566" t="s">
        <v>24</v>
      </c>
      <c r="E566" t="s">
        <v>25</v>
      </c>
      <c r="F566" t="s">
        <v>19</v>
      </c>
      <c r="G566" t="s">
        <v>20</v>
      </c>
      <c r="H566" t="s">
        <v>21</v>
      </c>
      <c r="I566">
        <v>4</v>
      </c>
      <c r="J566" s="6">
        <v>849.89</v>
      </c>
      <c r="K566" s="6">
        <v>3399.56</v>
      </c>
      <c r="L566" t="s">
        <v>30</v>
      </c>
      <c r="M566" t="s">
        <v>31</v>
      </c>
      <c r="N566" s="3">
        <v>45983</v>
      </c>
      <c r="O566" s="6">
        <v>3399.56</v>
      </c>
    </row>
    <row r="567" spans="1:15" x14ac:dyDescent="0.3">
      <c r="A567" t="s">
        <v>613</v>
      </c>
      <c r="B567" s="3">
        <v>45866</v>
      </c>
      <c r="C567" t="s">
        <v>535</v>
      </c>
      <c r="D567" t="s">
        <v>24</v>
      </c>
      <c r="E567" t="s">
        <v>25</v>
      </c>
      <c r="F567" t="s">
        <v>29</v>
      </c>
      <c r="G567" t="s">
        <v>39</v>
      </c>
      <c r="H567" t="s">
        <v>40</v>
      </c>
      <c r="I567">
        <v>7</v>
      </c>
      <c r="J567" s="6">
        <v>904</v>
      </c>
      <c r="K567" s="6">
        <v>6328</v>
      </c>
      <c r="L567" t="s">
        <v>30</v>
      </c>
      <c r="M567" t="s">
        <v>31</v>
      </c>
      <c r="N567" s="3">
        <v>46074</v>
      </c>
      <c r="O567" s="6">
        <v>6328</v>
      </c>
    </row>
    <row r="568" spans="1:15" x14ac:dyDescent="0.3">
      <c r="A568" t="s">
        <v>614</v>
      </c>
      <c r="B568" s="3">
        <v>45866</v>
      </c>
      <c r="C568" t="s">
        <v>535</v>
      </c>
      <c r="D568" t="s">
        <v>24</v>
      </c>
      <c r="E568" t="s">
        <v>28</v>
      </c>
      <c r="F568" t="s">
        <v>33</v>
      </c>
      <c r="G568" t="s">
        <v>39</v>
      </c>
      <c r="H568" t="s">
        <v>45</v>
      </c>
      <c r="I568">
        <v>5</v>
      </c>
      <c r="J568" s="6">
        <v>861.23</v>
      </c>
      <c r="K568" s="6">
        <v>4306.1499999999996</v>
      </c>
      <c r="L568" t="s">
        <v>30</v>
      </c>
      <c r="M568" t="s">
        <v>36</v>
      </c>
      <c r="N568" s="3">
        <v>46032</v>
      </c>
      <c r="O568" s="6">
        <v>4306.1499999999996</v>
      </c>
    </row>
    <row r="569" spans="1:15" x14ac:dyDescent="0.3">
      <c r="A569" t="s">
        <v>615</v>
      </c>
      <c r="B569" s="3">
        <v>45866</v>
      </c>
      <c r="C569" t="s">
        <v>535</v>
      </c>
      <c r="D569" t="s">
        <v>24</v>
      </c>
      <c r="E569" t="s">
        <v>28</v>
      </c>
      <c r="F569" t="s">
        <v>29</v>
      </c>
      <c r="G569" t="s">
        <v>39</v>
      </c>
      <c r="H569" t="s">
        <v>40</v>
      </c>
      <c r="I569">
        <v>11</v>
      </c>
      <c r="J569" s="6">
        <v>833.64</v>
      </c>
      <c r="K569" s="6">
        <v>9170.0400000000009</v>
      </c>
      <c r="L569" t="s">
        <v>22</v>
      </c>
      <c r="M569" t="s">
        <v>22</v>
      </c>
      <c r="N569" s="3">
        <v>46203</v>
      </c>
      <c r="O569" s="6">
        <v>9170.0400000000009</v>
      </c>
    </row>
    <row r="570" spans="1:15" x14ac:dyDescent="0.3">
      <c r="A570" t="s">
        <v>616</v>
      </c>
      <c r="B570" s="3">
        <v>45866</v>
      </c>
      <c r="C570" t="s">
        <v>535</v>
      </c>
      <c r="D570" t="s">
        <v>49</v>
      </c>
      <c r="E570" t="s">
        <v>18</v>
      </c>
      <c r="F570" t="s">
        <v>19</v>
      </c>
      <c r="G570" t="s">
        <v>39</v>
      </c>
      <c r="H570" t="s">
        <v>34</v>
      </c>
      <c r="I570">
        <v>11</v>
      </c>
      <c r="J570" s="6">
        <v>530.4</v>
      </c>
      <c r="K570" s="6">
        <v>5834.4</v>
      </c>
      <c r="L570" t="s">
        <v>22</v>
      </c>
      <c r="M570" t="s">
        <v>22</v>
      </c>
      <c r="N570" s="3">
        <v>46203</v>
      </c>
      <c r="O570" s="6">
        <v>5834.4</v>
      </c>
    </row>
    <row r="571" spans="1:15" x14ac:dyDescent="0.3">
      <c r="A571" t="s">
        <v>617</v>
      </c>
      <c r="B571" s="3">
        <v>45866</v>
      </c>
      <c r="C571" t="s">
        <v>535</v>
      </c>
      <c r="D571" t="s">
        <v>17</v>
      </c>
      <c r="E571" t="s">
        <v>25</v>
      </c>
      <c r="F571" t="s">
        <v>51</v>
      </c>
      <c r="G571" t="s">
        <v>39</v>
      </c>
      <c r="H571" t="s">
        <v>40</v>
      </c>
      <c r="I571">
        <v>11</v>
      </c>
      <c r="J571" s="6">
        <v>1476.1</v>
      </c>
      <c r="K571" s="6">
        <v>16237.1</v>
      </c>
      <c r="L571" t="s">
        <v>22</v>
      </c>
      <c r="M571" t="s">
        <v>22</v>
      </c>
      <c r="N571" s="3">
        <v>46203</v>
      </c>
      <c r="O571" s="6">
        <v>16237.1</v>
      </c>
    </row>
    <row r="572" spans="1:15" x14ac:dyDescent="0.3">
      <c r="A572" t="s">
        <v>618</v>
      </c>
      <c r="B572" s="3">
        <v>45867</v>
      </c>
      <c r="C572" t="s">
        <v>535</v>
      </c>
      <c r="D572" t="s">
        <v>24</v>
      </c>
      <c r="E572" t="s">
        <v>25</v>
      </c>
      <c r="F572" t="s">
        <v>29</v>
      </c>
      <c r="G572" t="s">
        <v>20</v>
      </c>
      <c r="H572" t="s">
        <v>21</v>
      </c>
      <c r="I572">
        <v>11</v>
      </c>
      <c r="J572" s="6">
        <v>819.7</v>
      </c>
      <c r="K572" s="6">
        <v>9016.7000000000007</v>
      </c>
      <c r="L572" t="s">
        <v>22</v>
      </c>
      <c r="M572" t="s">
        <v>22</v>
      </c>
      <c r="N572" s="3">
        <v>46203</v>
      </c>
      <c r="O572" s="6">
        <v>9016.7000000000007</v>
      </c>
    </row>
    <row r="573" spans="1:15" x14ac:dyDescent="0.3">
      <c r="A573" t="s">
        <v>619</v>
      </c>
      <c r="B573" s="3">
        <v>45868</v>
      </c>
      <c r="C573" t="s">
        <v>535</v>
      </c>
      <c r="D573" t="s">
        <v>24</v>
      </c>
      <c r="E573" t="s">
        <v>25</v>
      </c>
      <c r="F573" t="s">
        <v>51</v>
      </c>
      <c r="G573" t="s">
        <v>39</v>
      </c>
      <c r="H573" t="s">
        <v>40</v>
      </c>
      <c r="I573">
        <v>6</v>
      </c>
      <c r="J573" s="6">
        <v>987.84</v>
      </c>
      <c r="K573" s="6">
        <v>5927.04</v>
      </c>
      <c r="L573" t="s">
        <v>30</v>
      </c>
      <c r="M573" t="s">
        <v>36</v>
      </c>
      <c r="N573" s="3">
        <v>46050</v>
      </c>
      <c r="O573" s="6">
        <v>5927.04</v>
      </c>
    </row>
    <row r="574" spans="1:15" x14ac:dyDescent="0.3">
      <c r="A574" t="s">
        <v>620</v>
      </c>
      <c r="B574" s="3">
        <v>45868</v>
      </c>
      <c r="C574" t="s">
        <v>535</v>
      </c>
      <c r="D574" t="s">
        <v>24</v>
      </c>
      <c r="E574" t="s">
        <v>18</v>
      </c>
      <c r="F574" t="s">
        <v>38</v>
      </c>
      <c r="G574" t="s">
        <v>39</v>
      </c>
      <c r="H574" t="s">
        <v>40</v>
      </c>
      <c r="I574">
        <v>11</v>
      </c>
      <c r="J574" s="6">
        <v>833.64</v>
      </c>
      <c r="K574" s="6">
        <v>9170.0400000000009</v>
      </c>
      <c r="L574" t="s">
        <v>22</v>
      </c>
      <c r="M574" t="s">
        <v>22</v>
      </c>
      <c r="N574" s="3">
        <v>46203</v>
      </c>
      <c r="O574" s="6">
        <v>9170.0400000000009</v>
      </c>
    </row>
    <row r="575" spans="1:15" x14ac:dyDescent="0.3">
      <c r="A575" t="s">
        <v>621</v>
      </c>
      <c r="B575" s="3">
        <v>45869</v>
      </c>
      <c r="C575" t="s">
        <v>535</v>
      </c>
      <c r="D575" t="s">
        <v>49</v>
      </c>
      <c r="E575" t="s">
        <v>25</v>
      </c>
      <c r="F575" t="s">
        <v>33</v>
      </c>
      <c r="G575" t="s">
        <v>39</v>
      </c>
      <c r="H575" t="s">
        <v>34</v>
      </c>
      <c r="I575">
        <v>11</v>
      </c>
      <c r="J575" s="6">
        <v>455.59</v>
      </c>
      <c r="K575" s="6">
        <v>5011.49</v>
      </c>
      <c r="L575" t="s">
        <v>22</v>
      </c>
      <c r="M575" t="s">
        <v>22</v>
      </c>
      <c r="N575" s="3">
        <v>46203</v>
      </c>
      <c r="O575" s="6">
        <v>5011.49</v>
      </c>
    </row>
    <row r="576" spans="1:15" x14ac:dyDescent="0.3">
      <c r="A576" t="s">
        <v>622</v>
      </c>
      <c r="B576" s="3">
        <v>45869</v>
      </c>
      <c r="C576" t="s">
        <v>535</v>
      </c>
      <c r="D576" t="s">
        <v>24</v>
      </c>
      <c r="E576" t="s">
        <v>28</v>
      </c>
      <c r="F576" t="s">
        <v>38</v>
      </c>
      <c r="G576" t="s">
        <v>39</v>
      </c>
      <c r="H576" t="s">
        <v>21</v>
      </c>
      <c r="I576">
        <v>10</v>
      </c>
      <c r="J576" s="6">
        <v>936.18</v>
      </c>
      <c r="K576" s="6">
        <v>9361.7999999999993</v>
      </c>
      <c r="L576" t="s">
        <v>30</v>
      </c>
      <c r="M576" t="s">
        <v>36</v>
      </c>
      <c r="N576" s="3">
        <v>46159</v>
      </c>
      <c r="O576" s="6">
        <v>9361.7999999999993</v>
      </c>
    </row>
    <row r="577" spans="1:15" x14ac:dyDescent="0.3">
      <c r="A577" t="s">
        <v>623</v>
      </c>
      <c r="B577" s="3">
        <v>45869</v>
      </c>
      <c r="C577" t="s">
        <v>535</v>
      </c>
      <c r="D577" t="s">
        <v>49</v>
      </c>
      <c r="E577" t="s">
        <v>50</v>
      </c>
      <c r="F577" t="s">
        <v>33</v>
      </c>
      <c r="G577" t="s">
        <v>39</v>
      </c>
      <c r="H577" t="s">
        <v>21</v>
      </c>
      <c r="I577">
        <v>11</v>
      </c>
      <c r="J577" s="6">
        <v>481.29</v>
      </c>
      <c r="K577" s="6">
        <v>5294.19</v>
      </c>
      <c r="L577" t="s">
        <v>30</v>
      </c>
      <c r="M577" t="s">
        <v>36</v>
      </c>
      <c r="N577" s="3">
        <v>46203</v>
      </c>
      <c r="O577" s="6">
        <v>5294.19</v>
      </c>
    </row>
    <row r="578" spans="1:15" x14ac:dyDescent="0.3">
      <c r="A578" t="s">
        <v>624</v>
      </c>
      <c r="B578" s="3">
        <v>45870</v>
      </c>
      <c r="C578" t="s">
        <v>625</v>
      </c>
      <c r="D578" t="s">
        <v>24</v>
      </c>
      <c r="E578" t="s">
        <v>25</v>
      </c>
      <c r="F578" t="s">
        <v>19</v>
      </c>
      <c r="G578" t="s">
        <v>26</v>
      </c>
      <c r="H578" t="s">
        <v>45</v>
      </c>
      <c r="I578">
        <v>11</v>
      </c>
      <c r="J578" s="6">
        <v>863.46</v>
      </c>
      <c r="K578" s="6">
        <v>9498.06</v>
      </c>
      <c r="L578" t="s">
        <v>22</v>
      </c>
      <c r="M578" t="s">
        <v>22</v>
      </c>
      <c r="N578" s="3">
        <v>46203</v>
      </c>
      <c r="O578" s="6">
        <v>9498.06</v>
      </c>
    </row>
    <row r="579" spans="1:15" x14ac:dyDescent="0.3">
      <c r="A579" t="s">
        <v>626</v>
      </c>
      <c r="B579" s="3">
        <v>45870</v>
      </c>
      <c r="C579" t="s">
        <v>625</v>
      </c>
      <c r="D579" t="s">
        <v>49</v>
      </c>
      <c r="E579" t="s">
        <v>25</v>
      </c>
      <c r="F579" t="s">
        <v>51</v>
      </c>
      <c r="G579" t="s">
        <v>20</v>
      </c>
      <c r="H579" t="s">
        <v>21</v>
      </c>
      <c r="I579">
        <v>11</v>
      </c>
      <c r="J579" s="6">
        <v>490.35</v>
      </c>
      <c r="K579" s="6">
        <v>5393.85</v>
      </c>
      <c r="L579" t="s">
        <v>22</v>
      </c>
      <c r="M579" t="s">
        <v>22</v>
      </c>
      <c r="N579" s="3">
        <v>46203</v>
      </c>
      <c r="O579" s="6">
        <v>5393.85</v>
      </c>
    </row>
    <row r="580" spans="1:15" x14ac:dyDescent="0.3">
      <c r="A580" t="s">
        <v>627</v>
      </c>
      <c r="B580" s="3">
        <v>45871</v>
      </c>
      <c r="C580" t="s">
        <v>625</v>
      </c>
      <c r="D580" t="s">
        <v>49</v>
      </c>
      <c r="E580" t="s">
        <v>25</v>
      </c>
      <c r="F580" t="s">
        <v>38</v>
      </c>
      <c r="G580" t="s">
        <v>39</v>
      </c>
      <c r="H580" t="s">
        <v>21</v>
      </c>
      <c r="I580">
        <v>11</v>
      </c>
      <c r="J580" s="6">
        <v>513.01</v>
      </c>
      <c r="K580" s="6">
        <v>5643.11</v>
      </c>
      <c r="L580" t="s">
        <v>22</v>
      </c>
      <c r="M580" t="s">
        <v>22</v>
      </c>
      <c r="N580" s="3">
        <v>46203</v>
      </c>
      <c r="O580" s="6">
        <v>5643.11</v>
      </c>
    </row>
    <row r="581" spans="1:15" x14ac:dyDescent="0.3">
      <c r="A581" t="s">
        <v>628</v>
      </c>
      <c r="B581" s="3">
        <v>45872</v>
      </c>
      <c r="C581" t="s">
        <v>625</v>
      </c>
      <c r="D581" t="s">
        <v>24</v>
      </c>
      <c r="E581" t="s">
        <v>50</v>
      </c>
      <c r="F581" t="s">
        <v>19</v>
      </c>
      <c r="G581" t="s">
        <v>39</v>
      </c>
      <c r="H581" t="s">
        <v>45</v>
      </c>
      <c r="I581">
        <v>1</v>
      </c>
      <c r="J581" s="6">
        <v>818.66</v>
      </c>
      <c r="K581" s="6">
        <v>818.66</v>
      </c>
      <c r="L581" t="s">
        <v>30</v>
      </c>
      <c r="M581" t="s">
        <v>80</v>
      </c>
      <c r="N581" s="3">
        <v>45913</v>
      </c>
      <c r="O581" s="6">
        <v>818.66</v>
      </c>
    </row>
    <row r="582" spans="1:15" x14ac:dyDescent="0.3">
      <c r="A582" t="s">
        <v>629</v>
      </c>
      <c r="B582" s="3">
        <v>45872</v>
      </c>
      <c r="C582" t="s">
        <v>625</v>
      </c>
      <c r="D582" t="s">
        <v>24</v>
      </c>
      <c r="E582" t="s">
        <v>18</v>
      </c>
      <c r="F582" t="s">
        <v>19</v>
      </c>
      <c r="G582" t="s">
        <v>20</v>
      </c>
      <c r="H582" t="s">
        <v>45</v>
      </c>
      <c r="I582">
        <v>11</v>
      </c>
      <c r="J582" s="6">
        <v>984.23</v>
      </c>
      <c r="K582" s="6">
        <v>10826.53</v>
      </c>
      <c r="L582" t="s">
        <v>22</v>
      </c>
      <c r="M582" t="s">
        <v>22</v>
      </c>
      <c r="N582" s="3">
        <v>46203</v>
      </c>
      <c r="O582" s="6">
        <v>10826.53</v>
      </c>
    </row>
    <row r="583" spans="1:15" x14ac:dyDescent="0.3">
      <c r="A583" t="s">
        <v>630</v>
      </c>
      <c r="B583" s="3">
        <v>45872</v>
      </c>
      <c r="C583" t="s">
        <v>625</v>
      </c>
      <c r="D583" t="s">
        <v>24</v>
      </c>
      <c r="E583" t="s">
        <v>18</v>
      </c>
      <c r="F583" t="s">
        <v>38</v>
      </c>
      <c r="G583" t="s">
        <v>39</v>
      </c>
      <c r="H583" t="s">
        <v>34</v>
      </c>
      <c r="I583">
        <v>4</v>
      </c>
      <c r="J583" s="6">
        <v>962.89</v>
      </c>
      <c r="K583" s="6">
        <v>3851.56</v>
      </c>
      <c r="L583" t="s">
        <v>30</v>
      </c>
      <c r="M583" t="s">
        <v>41</v>
      </c>
      <c r="N583" s="3">
        <v>45996</v>
      </c>
      <c r="O583" s="6">
        <v>3851.56</v>
      </c>
    </row>
    <row r="584" spans="1:15" x14ac:dyDescent="0.3">
      <c r="A584" t="s">
        <v>631</v>
      </c>
      <c r="B584" s="3">
        <v>45872</v>
      </c>
      <c r="C584" t="s">
        <v>625</v>
      </c>
      <c r="D584" t="s">
        <v>17</v>
      </c>
      <c r="E584" t="s">
        <v>25</v>
      </c>
      <c r="F584" t="s">
        <v>19</v>
      </c>
      <c r="G584" t="s">
        <v>39</v>
      </c>
      <c r="H584" t="s">
        <v>21</v>
      </c>
      <c r="I584">
        <v>11</v>
      </c>
      <c r="J584" s="6">
        <v>1517.21</v>
      </c>
      <c r="K584" s="6">
        <v>16689.310000000001</v>
      </c>
      <c r="L584" t="s">
        <v>22</v>
      </c>
      <c r="M584" t="s">
        <v>22</v>
      </c>
      <c r="N584" s="3">
        <v>46203</v>
      </c>
      <c r="O584" s="6">
        <v>16689.310000000001</v>
      </c>
    </row>
    <row r="585" spans="1:15" x14ac:dyDescent="0.3">
      <c r="A585" t="s">
        <v>632</v>
      </c>
      <c r="B585" s="3">
        <v>45873</v>
      </c>
      <c r="C585" t="s">
        <v>625</v>
      </c>
      <c r="D585" t="s">
        <v>24</v>
      </c>
      <c r="E585" t="s">
        <v>28</v>
      </c>
      <c r="F585" t="s">
        <v>29</v>
      </c>
      <c r="G585" t="s">
        <v>39</v>
      </c>
      <c r="H585" t="s">
        <v>21</v>
      </c>
      <c r="I585">
        <v>11</v>
      </c>
      <c r="J585" s="6">
        <v>945.28</v>
      </c>
      <c r="K585" s="6">
        <v>10398.08</v>
      </c>
      <c r="L585" t="s">
        <v>22</v>
      </c>
      <c r="M585" t="s">
        <v>22</v>
      </c>
      <c r="N585" s="3">
        <v>46203</v>
      </c>
      <c r="O585" s="6">
        <v>10398.08</v>
      </c>
    </row>
    <row r="586" spans="1:15" x14ac:dyDescent="0.3">
      <c r="A586" t="s">
        <v>633</v>
      </c>
      <c r="B586" s="3">
        <v>45873</v>
      </c>
      <c r="C586" t="s">
        <v>625</v>
      </c>
      <c r="D586" t="s">
        <v>24</v>
      </c>
      <c r="E586" t="s">
        <v>18</v>
      </c>
      <c r="F586" t="s">
        <v>51</v>
      </c>
      <c r="G586" t="s">
        <v>20</v>
      </c>
      <c r="H586" t="s">
        <v>34</v>
      </c>
      <c r="I586">
        <v>11</v>
      </c>
      <c r="J586" s="6">
        <v>943.28</v>
      </c>
      <c r="K586" s="6">
        <v>10376.08</v>
      </c>
      <c r="L586" t="s">
        <v>22</v>
      </c>
      <c r="M586" t="s">
        <v>22</v>
      </c>
      <c r="N586" s="3">
        <v>46203</v>
      </c>
      <c r="O586" s="6">
        <v>10376.08</v>
      </c>
    </row>
    <row r="587" spans="1:15" x14ac:dyDescent="0.3">
      <c r="A587" t="s">
        <v>634</v>
      </c>
      <c r="B587" s="3">
        <v>45873</v>
      </c>
      <c r="C587" t="s">
        <v>625</v>
      </c>
      <c r="D587" t="s">
        <v>24</v>
      </c>
      <c r="E587" t="s">
        <v>28</v>
      </c>
      <c r="F587" t="s">
        <v>19</v>
      </c>
      <c r="G587" t="s">
        <v>39</v>
      </c>
      <c r="H587" t="s">
        <v>34</v>
      </c>
      <c r="I587">
        <v>11</v>
      </c>
      <c r="J587" s="6">
        <v>826.37</v>
      </c>
      <c r="K587" s="6">
        <v>9090.07</v>
      </c>
      <c r="L587" t="s">
        <v>22</v>
      </c>
      <c r="M587" t="s">
        <v>22</v>
      </c>
      <c r="N587" s="3">
        <v>46203</v>
      </c>
      <c r="O587" s="6">
        <v>9090.07</v>
      </c>
    </row>
    <row r="588" spans="1:15" x14ac:dyDescent="0.3">
      <c r="A588" t="s">
        <v>635</v>
      </c>
      <c r="B588" s="3">
        <v>45873</v>
      </c>
      <c r="C588" t="s">
        <v>625</v>
      </c>
      <c r="D588" t="s">
        <v>24</v>
      </c>
      <c r="E588" t="s">
        <v>28</v>
      </c>
      <c r="F588" t="s">
        <v>33</v>
      </c>
      <c r="G588" t="s">
        <v>20</v>
      </c>
      <c r="H588" t="s">
        <v>21</v>
      </c>
      <c r="I588">
        <v>11</v>
      </c>
      <c r="J588" s="6">
        <v>835.84</v>
      </c>
      <c r="K588" s="6">
        <v>9194.24</v>
      </c>
      <c r="L588" t="s">
        <v>22</v>
      </c>
      <c r="M588" t="s">
        <v>22</v>
      </c>
      <c r="N588" s="3">
        <v>46203</v>
      </c>
      <c r="O588" s="6">
        <v>9194.24</v>
      </c>
    </row>
    <row r="589" spans="1:15" x14ac:dyDescent="0.3">
      <c r="A589" t="s">
        <v>636</v>
      </c>
      <c r="B589" s="3">
        <v>45874</v>
      </c>
      <c r="C589" t="s">
        <v>625</v>
      </c>
      <c r="D589" t="s">
        <v>17</v>
      </c>
      <c r="E589" t="s">
        <v>28</v>
      </c>
      <c r="F589" t="s">
        <v>38</v>
      </c>
      <c r="G589" t="s">
        <v>39</v>
      </c>
      <c r="H589" t="s">
        <v>40</v>
      </c>
      <c r="I589">
        <v>11</v>
      </c>
      <c r="J589" s="6">
        <v>1427.81</v>
      </c>
      <c r="K589" s="6">
        <v>15705.91</v>
      </c>
      <c r="L589" t="s">
        <v>22</v>
      </c>
      <c r="M589" t="s">
        <v>22</v>
      </c>
      <c r="N589" s="3">
        <v>46203</v>
      </c>
      <c r="O589" s="6">
        <v>15705.91</v>
      </c>
    </row>
    <row r="590" spans="1:15" x14ac:dyDescent="0.3">
      <c r="A590" t="s">
        <v>637</v>
      </c>
      <c r="B590" s="3">
        <v>45874</v>
      </c>
      <c r="C590" t="s">
        <v>625</v>
      </c>
      <c r="D590" t="s">
        <v>49</v>
      </c>
      <c r="E590" t="s">
        <v>28</v>
      </c>
      <c r="F590" t="s">
        <v>29</v>
      </c>
      <c r="G590" t="s">
        <v>39</v>
      </c>
      <c r="H590" t="s">
        <v>34</v>
      </c>
      <c r="I590">
        <v>11</v>
      </c>
      <c r="J590" s="6">
        <v>502.42</v>
      </c>
      <c r="K590" s="6">
        <v>5526.62</v>
      </c>
      <c r="L590" t="s">
        <v>22</v>
      </c>
      <c r="M590" t="s">
        <v>22</v>
      </c>
      <c r="N590" s="3">
        <v>46203</v>
      </c>
      <c r="O590" s="6">
        <v>5526.62</v>
      </c>
    </row>
    <row r="591" spans="1:15" x14ac:dyDescent="0.3">
      <c r="A591" t="s">
        <v>638</v>
      </c>
      <c r="B591" s="3">
        <v>45874</v>
      </c>
      <c r="C591" t="s">
        <v>625</v>
      </c>
      <c r="D591" t="s">
        <v>24</v>
      </c>
      <c r="E591" t="s">
        <v>25</v>
      </c>
      <c r="F591" t="s">
        <v>29</v>
      </c>
      <c r="G591" t="s">
        <v>20</v>
      </c>
      <c r="H591" t="s">
        <v>40</v>
      </c>
      <c r="I591">
        <v>11</v>
      </c>
      <c r="J591" s="6">
        <v>979.69</v>
      </c>
      <c r="K591" s="6">
        <v>10776.59</v>
      </c>
      <c r="L591" t="s">
        <v>22</v>
      </c>
      <c r="M591" t="s">
        <v>22</v>
      </c>
      <c r="N591" s="3">
        <v>46203</v>
      </c>
      <c r="O591" s="6">
        <v>10776.59</v>
      </c>
    </row>
    <row r="592" spans="1:15" x14ac:dyDescent="0.3">
      <c r="A592" t="s">
        <v>639</v>
      </c>
      <c r="B592" s="3">
        <v>45875</v>
      </c>
      <c r="C592" t="s">
        <v>625</v>
      </c>
      <c r="D592" t="s">
        <v>17</v>
      </c>
      <c r="E592" t="s">
        <v>50</v>
      </c>
      <c r="F592" t="s">
        <v>19</v>
      </c>
      <c r="G592" t="s">
        <v>39</v>
      </c>
      <c r="H592" t="s">
        <v>21</v>
      </c>
      <c r="I592">
        <v>11</v>
      </c>
      <c r="J592" s="6">
        <v>1478.08</v>
      </c>
      <c r="K592" s="6">
        <v>16258.88</v>
      </c>
      <c r="L592" t="s">
        <v>22</v>
      </c>
      <c r="M592" t="s">
        <v>22</v>
      </c>
      <c r="N592" s="3">
        <v>46203</v>
      </c>
      <c r="O592" s="6">
        <v>16258.88</v>
      </c>
    </row>
    <row r="593" spans="1:15" x14ac:dyDescent="0.3">
      <c r="A593" t="s">
        <v>640</v>
      </c>
      <c r="B593" s="3">
        <v>45875</v>
      </c>
      <c r="C593" t="s">
        <v>625</v>
      </c>
      <c r="D593" t="s">
        <v>49</v>
      </c>
      <c r="E593" t="s">
        <v>18</v>
      </c>
      <c r="F593" t="s">
        <v>29</v>
      </c>
      <c r="G593" t="s">
        <v>39</v>
      </c>
      <c r="H593" t="s">
        <v>21</v>
      </c>
      <c r="I593">
        <v>9</v>
      </c>
      <c r="J593" s="6">
        <v>477.69</v>
      </c>
      <c r="K593" s="6">
        <v>4299.21</v>
      </c>
      <c r="L593" t="s">
        <v>30</v>
      </c>
      <c r="M593" t="s">
        <v>31</v>
      </c>
      <c r="N593" s="3">
        <v>46142</v>
      </c>
      <c r="O593" s="6">
        <v>4299.21</v>
      </c>
    </row>
    <row r="594" spans="1:15" x14ac:dyDescent="0.3">
      <c r="A594" t="s">
        <v>641</v>
      </c>
      <c r="B594" s="3">
        <v>45876</v>
      </c>
      <c r="C594" t="s">
        <v>625</v>
      </c>
      <c r="D594" t="s">
        <v>24</v>
      </c>
      <c r="E594" t="s">
        <v>25</v>
      </c>
      <c r="F594" t="s">
        <v>38</v>
      </c>
      <c r="G594" t="s">
        <v>39</v>
      </c>
      <c r="H594" t="s">
        <v>21</v>
      </c>
      <c r="I594">
        <v>6</v>
      </c>
      <c r="J594" s="6">
        <v>875.38</v>
      </c>
      <c r="K594" s="6">
        <v>5252.28</v>
      </c>
      <c r="L594" t="s">
        <v>30</v>
      </c>
      <c r="M594" t="s">
        <v>31</v>
      </c>
      <c r="N594" s="3">
        <v>46062</v>
      </c>
      <c r="O594" s="6">
        <v>5252.28</v>
      </c>
    </row>
    <row r="595" spans="1:15" x14ac:dyDescent="0.3">
      <c r="A595" t="s">
        <v>642</v>
      </c>
      <c r="B595" s="3">
        <v>45876</v>
      </c>
      <c r="C595" t="s">
        <v>625</v>
      </c>
      <c r="D595" t="s">
        <v>49</v>
      </c>
      <c r="E595" t="s">
        <v>25</v>
      </c>
      <c r="F595" t="s">
        <v>19</v>
      </c>
      <c r="G595" t="s">
        <v>39</v>
      </c>
      <c r="H595" t="s">
        <v>21</v>
      </c>
      <c r="I595">
        <v>10</v>
      </c>
      <c r="J595" s="6">
        <v>533.66999999999996</v>
      </c>
      <c r="K595" s="6">
        <v>5336.7</v>
      </c>
      <c r="L595" t="s">
        <v>30</v>
      </c>
      <c r="M595" t="s">
        <v>43</v>
      </c>
      <c r="N595" s="3">
        <v>46178</v>
      </c>
      <c r="O595" s="6">
        <v>5336.7</v>
      </c>
    </row>
    <row r="596" spans="1:15" x14ac:dyDescent="0.3">
      <c r="A596" t="s">
        <v>643</v>
      </c>
      <c r="B596" s="3">
        <v>45876</v>
      </c>
      <c r="C596" t="s">
        <v>625</v>
      </c>
      <c r="D596" t="s">
        <v>49</v>
      </c>
      <c r="E596" t="s">
        <v>25</v>
      </c>
      <c r="F596" t="s">
        <v>29</v>
      </c>
      <c r="G596" t="s">
        <v>20</v>
      </c>
      <c r="H596" t="s">
        <v>21</v>
      </c>
      <c r="I596">
        <v>7</v>
      </c>
      <c r="J596" s="6">
        <v>492.65</v>
      </c>
      <c r="K596" s="6">
        <v>3448.55</v>
      </c>
      <c r="L596" t="s">
        <v>30</v>
      </c>
      <c r="M596" t="s">
        <v>43</v>
      </c>
      <c r="N596" s="3">
        <v>46102</v>
      </c>
      <c r="O596" s="6">
        <v>3448.55</v>
      </c>
    </row>
    <row r="597" spans="1:15" x14ac:dyDescent="0.3">
      <c r="A597" t="s">
        <v>644</v>
      </c>
      <c r="B597" s="3">
        <v>45876</v>
      </c>
      <c r="C597" t="s">
        <v>625</v>
      </c>
      <c r="D597" t="s">
        <v>49</v>
      </c>
      <c r="E597" t="s">
        <v>50</v>
      </c>
      <c r="F597" t="s">
        <v>19</v>
      </c>
      <c r="G597" t="s">
        <v>20</v>
      </c>
      <c r="H597" t="s">
        <v>40</v>
      </c>
      <c r="I597">
        <v>11</v>
      </c>
      <c r="J597" s="6">
        <v>538.08000000000004</v>
      </c>
      <c r="K597" s="6">
        <v>5918.88</v>
      </c>
      <c r="L597" t="s">
        <v>22</v>
      </c>
      <c r="M597" t="s">
        <v>22</v>
      </c>
      <c r="N597" s="3">
        <v>46203</v>
      </c>
      <c r="O597" s="6">
        <v>5918.88</v>
      </c>
    </row>
    <row r="598" spans="1:15" x14ac:dyDescent="0.3">
      <c r="A598" t="s">
        <v>645</v>
      </c>
      <c r="B598" s="3">
        <v>45877</v>
      </c>
      <c r="C598" t="s">
        <v>625</v>
      </c>
      <c r="D598" t="s">
        <v>24</v>
      </c>
      <c r="E598" t="s">
        <v>18</v>
      </c>
      <c r="F598" t="s">
        <v>19</v>
      </c>
      <c r="G598" t="s">
        <v>39</v>
      </c>
      <c r="H598" t="s">
        <v>34</v>
      </c>
      <c r="I598">
        <v>4</v>
      </c>
      <c r="J598" s="6">
        <v>853.96</v>
      </c>
      <c r="K598" s="6">
        <v>3415.84</v>
      </c>
      <c r="L598" t="s">
        <v>30</v>
      </c>
      <c r="M598" t="s">
        <v>31</v>
      </c>
      <c r="N598" s="3">
        <v>46004</v>
      </c>
      <c r="O598" s="6">
        <v>3415.84</v>
      </c>
    </row>
    <row r="599" spans="1:15" x14ac:dyDescent="0.3">
      <c r="A599" t="s">
        <v>646</v>
      </c>
      <c r="B599" s="3">
        <v>45878</v>
      </c>
      <c r="C599" t="s">
        <v>625</v>
      </c>
      <c r="D599" t="s">
        <v>49</v>
      </c>
      <c r="E599" t="s">
        <v>25</v>
      </c>
      <c r="F599" t="s">
        <v>19</v>
      </c>
      <c r="G599" t="s">
        <v>39</v>
      </c>
      <c r="H599" t="s">
        <v>21</v>
      </c>
      <c r="I599">
        <v>11</v>
      </c>
      <c r="J599" s="6">
        <v>539.71</v>
      </c>
      <c r="K599" s="6">
        <v>5936.81</v>
      </c>
      <c r="L599" t="s">
        <v>22</v>
      </c>
      <c r="M599" t="s">
        <v>22</v>
      </c>
      <c r="N599" s="3">
        <v>46203</v>
      </c>
      <c r="O599" s="6">
        <v>5936.81</v>
      </c>
    </row>
    <row r="600" spans="1:15" x14ac:dyDescent="0.3">
      <c r="A600" t="s">
        <v>647</v>
      </c>
      <c r="B600" s="3">
        <v>45878</v>
      </c>
      <c r="C600" t="s">
        <v>625</v>
      </c>
      <c r="D600" t="s">
        <v>24</v>
      </c>
      <c r="E600" t="s">
        <v>25</v>
      </c>
      <c r="F600" t="s">
        <v>29</v>
      </c>
      <c r="G600" t="s">
        <v>26</v>
      </c>
      <c r="H600" t="s">
        <v>40</v>
      </c>
      <c r="I600">
        <v>11</v>
      </c>
      <c r="J600" s="6">
        <v>821.02</v>
      </c>
      <c r="K600" s="6">
        <v>9031.2199999999993</v>
      </c>
      <c r="L600" t="s">
        <v>22</v>
      </c>
      <c r="M600" t="s">
        <v>22</v>
      </c>
      <c r="N600" s="3">
        <v>46203</v>
      </c>
      <c r="O600" s="6">
        <v>9031.2199999999993</v>
      </c>
    </row>
    <row r="601" spans="1:15" x14ac:dyDescent="0.3">
      <c r="A601" t="s">
        <v>648</v>
      </c>
      <c r="B601" s="3">
        <v>45878</v>
      </c>
      <c r="C601" t="s">
        <v>625</v>
      </c>
      <c r="D601" t="s">
        <v>24</v>
      </c>
      <c r="E601" t="s">
        <v>28</v>
      </c>
      <c r="F601" t="s">
        <v>29</v>
      </c>
      <c r="G601" t="s">
        <v>20</v>
      </c>
      <c r="H601" t="s">
        <v>21</v>
      </c>
      <c r="I601">
        <v>6</v>
      </c>
      <c r="J601" s="6">
        <v>856.31</v>
      </c>
      <c r="K601" s="6">
        <v>5137.8599999999997</v>
      </c>
      <c r="L601" t="s">
        <v>30</v>
      </c>
      <c r="M601" t="s">
        <v>43</v>
      </c>
      <c r="N601" s="3">
        <v>46070</v>
      </c>
      <c r="O601" s="6">
        <v>5137.8599999999997</v>
      </c>
    </row>
    <row r="602" spans="1:15" x14ac:dyDescent="0.3">
      <c r="A602" t="s">
        <v>649</v>
      </c>
      <c r="B602" s="3">
        <v>45879</v>
      </c>
      <c r="C602" t="s">
        <v>625</v>
      </c>
      <c r="D602" t="s">
        <v>49</v>
      </c>
      <c r="E602" t="s">
        <v>25</v>
      </c>
      <c r="F602" t="s">
        <v>38</v>
      </c>
      <c r="G602" t="s">
        <v>39</v>
      </c>
      <c r="H602" t="s">
        <v>34</v>
      </c>
      <c r="I602">
        <v>11</v>
      </c>
      <c r="J602" s="6">
        <v>502.44</v>
      </c>
      <c r="K602" s="6">
        <v>5526.84</v>
      </c>
      <c r="L602" t="s">
        <v>22</v>
      </c>
      <c r="M602" t="s">
        <v>22</v>
      </c>
      <c r="N602" s="3">
        <v>46203</v>
      </c>
      <c r="O602" s="6">
        <v>5526.84</v>
      </c>
    </row>
    <row r="603" spans="1:15" x14ac:dyDescent="0.3">
      <c r="A603" t="s">
        <v>650</v>
      </c>
      <c r="B603" s="3">
        <v>45879</v>
      </c>
      <c r="C603" t="s">
        <v>625</v>
      </c>
      <c r="D603" t="s">
        <v>49</v>
      </c>
      <c r="E603" t="s">
        <v>25</v>
      </c>
      <c r="F603" t="s">
        <v>29</v>
      </c>
      <c r="G603" t="s">
        <v>20</v>
      </c>
      <c r="H603" t="s">
        <v>21</v>
      </c>
      <c r="I603">
        <v>10</v>
      </c>
      <c r="J603" s="6">
        <v>517.84</v>
      </c>
      <c r="K603" s="6">
        <v>5178.3999999999996</v>
      </c>
      <c r="L603" t="s">
        <v>30</v>
      </c>
      <c r="M603" t="s">
        <v>43</v>
      </c>
      <c r="N603" s="3">
        <v>46193</v>
      </c>
      <c r="O603" s="6">
        <v>5178.3999999999996</v>
      </c>
    </row>
    <row r="604" spans="1:15" x14ac:dyDescent="0.3">
      <c r="A604" t="s">
        <v>651</v>
      </c>
      <c r="B604" s="3">
        <v>45879</v>
      </c>
      <c r="C604" t="s">
        <v>625</v>
      </c>
      <c r="D604" t="s">
        <v>24</v>
      </c>
      <c r="E604" t="s">
        <v>25</v>
      </c>
      <c r="F604" t="s">
        <v>19</v>
      </c>
      <c r="G604" t="s">
        <v>26</v>
      </c>
      <c r="H604" t="s">
        <v>21</v>
      </c>
      <c r="I604">
        <v>5</v>
      </c>
      <c r="J604" s="6">
        <v>895.99</v>
      </c>
      <c r="K604" s="6">
        <v>4479.95</v>
      </c>
      <c r="L604" t="s">
        <v>30</v>
      </c>
      <c r="M604" t="s">
        <v>80</v>
      </c>
      <c r="N604" s="3">
        <v>46034</v>
      </c>
      <c r="O604" s="6">
        <v>4479.95</v>
      </c>
    </row>
    <row r="605" spans="1:15" x14ac:dyDescent="0.3">
      <c r="A605" t="s">
        <v>652</v>
      </c>
      <c r="B605" s="3">
        <v>45881</v>
      </c>
      <c r="C605" t="s">
        <v>625</v>
      </c>
      <c r="D605" t="s">
        <v>49</v>
      </c>
      <c r="E605" t="s">
        <v>28</v>
      </c>
      <c r="F605" t="s">
        <v>38</v>
      </c>
      <c r="G605" t="s">
        <v>39</v>
      </c>
      <c r="H605" t="s">
        <v>40</v>
      </c>
      <c r="I605">
        <v>11</v>
      </c>
      <c r="J605" s="6">
        <v>523.62</v>
      </c>
      <c r="K605" s="6">
        <v>5759.82</v>
      </c>
      <c r="L605" t="s">
        <v>22</v>
      </c>
      <c r="M605" t="s">
        <v>22</v>
      </c>
      <c r="N605" s="3">
        <v>46203</v>
      </c>
      <c r="O605" s="6">
        <v>5759.82</v>
      </c>
    </row>
    <row r="606" spans="1:15" x14ac:dyDescent="0.3">
      <c r="A606" t="s">
        <v>653</v>
      </c>
      <c r="B606" s="3">
        <v>45881</v>
      </c>
      <c r="C606" t="s">
        <v>625</v>
      </c>
      <c r="D606" t="s">
        <v>49</v>
      </c>
      <c r="E606" t="s">
        <v>50</v>
      </c>
      <c r="F606" t="s">
        <v>51</v>
      </c>
      <c r="G606" t="s">
        <v>39</v>
      </c>
      <c r="H606" t="s">
        <v>21</v>
      </c>
      <c r="I606">
        <v>11</v>
      </c>
      <c r="J606" s="6">
        <v>524.85</v>
      </c>
      <c r="K606" s="6">
        <v>5773.35</v>
      </c>
      <c r="L606" t="s">
        <v>22</v>
      </c>
      <c r="M606" t="s">
        <v>22</v>
      </c>
      <c r="N606" s="3">
        <v>46203</v>
      </c>
      <c r="O606" s="6">
        <v>5773.35</v>
      </c>
    </row>
    <row r="607" spans="1:15" x14ac:dyDescent="0.3">
      <c r="A607" t="s">
        <v>654</v>
      </c>
      <c r="B607" s="3">
        <v>45881</v>
      </c>
      <c r="C607" t="s">
        <v>625</v>
      </c>
      <c r="D607" t="s">
        <v>49</v>
      </c>
      <c r="E607" t="s">
        <v>18</v>
      </c>
      <c r="F607" t="s">
        <v>29</v>
      </c>
      <c r="G607" t="s">
        <v>39</v>
      </c>
      <c r="H607" t="s">
        <v>21</v>
      </c>
      <c r="I607">
        <v>11</v>
      </c>
      <c r="J607" s="6">
        <v>456.55</v>
      </c>
      <c r="K607" s="6">
        <v>5022.05</v>
      </c>
      <c r="L607" t="s">
        <v>22</v>
      </c>
      <c r="M607" t="s">
        <v>22</v>
      </c>
      <c r="N607" s="3">
        <v>46203</v>
      </c>
      <c r="O607" s="6">
        <v>5022.05</v>
      </c>
    </row>
    <row r="608" spans="1:15" x14ac:dyDescent="0.3">
      <c r="A608" t="s">
        <v>655</v>
      </c>
      <c r="B608" s="3">
        <v>45881</v>
      </c>
      <c r="C608" t="s">
        <v>625</v>
      </c>
      <c r="D608" t="s">
        <v>49</v>
      </c>
      <c r="E608" t="s">
        <v>25</v>
      </c>
      <c r="F608" t="s">
        <v>38</v>
      </c>
      <c r="G608" t="s">
        <v>20</v>
      </c>
      <c r="H608" t="s">
        <v>21</v>
      </c>
      <c r="I608">
        <v>11</v>
      </c>
      <c r="J608" s="6">
        <v>484.19</v>
      </c>
      <c r="K608" s="6">
        <v>5326.09</v>
      </c>
      <c r="L608" t="s">
        <v>22</v>
      </c>
      <c r="M608" t="s">
        <v>22</v>
      </c>
      <c r="N608" s="3">
        <v>46203</v>
      </c>
      <c r="O608" s="6">
        <v>5326.09</v>
      </c>
    </row>
    <row r="609" spans="1:15" x14ac:dyDescent="0.3">
      <c r="A609" t="s">
        <v>656</v>
      </c>
      <c r="B609" s="3">
        <v>45882</v>
      </c>
      <c r="C609" t="s">
        <v>625</v>
      </c>
      <c r="D609" t="s">
        <v>24</v>
      </c>
      <c r="E609" t="s">
        <v>28</v>
      </c>
      <c r="F609" t="s">
        <v>19</v>
      </c>
      <c r="G609" t="s">
        <v>20</v>
      </c>
      <c r="H609" t="s">
        <v>21</v>
      </c>
      <c r="I609">
        <v>11</v>
      </c>
      <c r="J609" s="6">
        <v>955.4</v>
      </c>
      <c r="K609" s="6">
        <v>10509.4</v>
      </c>
      <c r="L609" t="s">
        <v>22</v>
      </c>
      <c r="M609" t="s">
        <v>22</v>
      </c>
      <c r="N609" s="3">
        <v>46203</v>
      </c>
      <c r="O609" s="6">
        <v>10509.4</v>
      </c>
    </row>
    <row r="610" spans="1:15" x14ac:dyDescent="0.3">
      <c r="A610" t="s">
        <v>657</v>
      </c>
      <c r="B610" s="3">
        <v>45882</v>
      </c>
      <c r="C610" t="s">
        <v>625</v>
      </c>
      <c r="D610" t="s">
        <v>49</v>
      </c>
      <c r="E610" t="s">
        <v>18</v>
      </c>
      <c r="F610" t="s">
        <v>51</v>
      </c>
      <c r="G610" t="s">
        <v>39</v>
      </c>
      <c r="H610" t="s">
        <v>40</v>
      </c>
      <c r="I610">
        <v>11</v>
      </c>
      <c r="J610" s="6">
        <v>504.28</v>
      </c>
      <c r="K610" s="6">
        <v>5547.08</v>
      </c>
      <c r="L610" t="s">
        <v>22</v>
      </c>
      <c r="M610" t="s">
        <v>22</v>
      </c>
      <c r="N610" s="3">
        <v>46203</v>
      </c>
      <c r="O610" s="6">
        <v>5547.08</v>
      </c>
    </row>
    <row r="611" spans="1:15" x14ac:dyDescent="0.3">
      <c r="A611" t="s">
        <v>658</v>
      </c>
      <c r="B611" s="3">
        <v>45882</v>
      </c>
      <c r="C611" t="s">
        <v>625</v>
      </c>
      <c r="D611" t="s">
        <v>49</v>
      </c>
      <c r="E611" t="s">
        <v>28</v>
      </c>
      <c r="F611" t="s">
        <v>33</v>
      </c>
      <c r="G611" t="s">
        <v>39</v>
      </c>
      <c r="H611" t="s">
        <v>34</v>
      </c>
      <c r="I611">
        <v>11</v>
      </c>
      <c r="J611" s="6">
        <v>521.04999999999995</v>
      </c>
      <c r="K611" s="6">
        <v>5731.55</v>
      </c>
      <c r="L611" t="s">
        <v>22</v>
      </c>
      <c r="M611" t="s">
        <v>22</v>
      </c>
      <c r="N611" s="3">
        <v>46203</v>
      </c>
      <c r="O611" s="6">
        <v>5731.55</v>
      </c>
    </row>
    <row r="612" spans="1:15" x14ac:dyDescent="0.3">
      <c r="A612" t="s">
        <v>659</v>
      </c>
      <c r="B612" s="3">
        <v>45882</v>
      </c>
      <c r="C612" t="s">
        <v>625</v>
      </c>
      <c r="D612" t="s">
        <v>24</v>
      </c>
      <c r="E612" t="s">
        <v>50</v>
      </c>
      <c r="F612" t="s">
        <v>51</v>
      </c>
      <c r="G612" t="s">
        <v>20</v>
      </c>
      <c r="H612" t="s">
        <v>21</v>
      </c>
      <c r="I612">
        <v>11</v>
      </c>
      <c r="J612" s="6">
        <v>898.7</v>
      </c>
      <c r="K612" s="6">
        <v>9885.7000000000007</v>
      </c>
      <c r="L612" t="s">
        <v>22</v>
      </c>
      <c r="M612" t="s">
        <v>22</v>
      </c>
      <c r="N612" s="3">
        <v>46203</v>
      </c>
      <c r="O612" s="6">
        <v>9885.7000000000007</v>
      </c>
    </row>
    <row r="613" spans="1:15" x14ac:dyDescent="0.3">
      <c r="A613" t="s">
        <v>660</v>
      </c>
      <c r="B613" s="3">
        <v>45882</v>
      </c>
      <c r="C613" t="s">
        <v>625</v>
      </c>
      <c r="D613" t="s">
        <v>24</v>
      </c>
      <c r="E613" t="s">
        <v>25</v>
      </c>
      <c r="F613" t="s">
        <v>19</v>
      </c>
      <c r="G613" t="s">
        <v>20</v>
      </c>
      <c r="H613" t="s">
        <v>40</v>
      </c>
      <c r="I613">
        <v>11</v>
      </c>
      <c r="J613" s="6">
        <v>885.47</v>
      </c>
      <c r="K613" s="6">
        <v>9740.17</v>
      </c>
      <c r="L613" t="s">
        <v>22</v>
      </c>
      <c r="M613" t="s">
        <v>22</v>
      </c>
      <c r="N613" s="3">
        <v>46203</v>
      </c>
      <c r="O613" s="6">
        <v>9740.17</v>
      </c>
    </row>
    <row r="614" spans="1:15" x14ac:dyDescent="0.3">
      <c r="A614" t="s">
        <v>661</v>
      </c>
      <c r="B614" s="3">
        <v>45882</v>
      </c>
      <c r="C614" t="s">
        <v>625</v>
      </c>
      <c r="D614" t="s">
        <v>17</v>
      </c>
      <c r="E614" t="s">
        <v>28</v>
      </c>
      <c r="F614" t="s">
        <v>33</v>
      </c>
      <c r="G614" t="s">
        <v>20</v>
      </c>
      <c r="H614" t="s">
        <v>34</v>
      </c>
      <c r="I614">
        <v>11</v>
      </c>
      <c r="J614" s="6">
        <v>1496.25</v>
      </c>
      <c r="K614" s="6">
        <v>16458.75</v>
      </c>
      <c r="L614" t="s">
        <v>22</v>
      </c>
      <c r="M614" t="s">
        <v>22</v>
      </c>
      <c r="N614" s="3">
        <v>46203</v>
      </c>
      <c r="O614" s="6">
        <v>16458.75</v>
      </c>
    </row>
    <row r="615" spans="1:15" x14ac:dyDescent="0.3">
      <c r="A615" t="s">
        <v>662</v>
      </c>
      <c r="B615" s="3">
        <v>45883</v>
      </c>
      <c r="C615" t="s">
        <v>625</v>
      </c>
      <c r="D615" t="s">
        <v>17</v>
      </c>
      <c r="E615" t="s">
        <v>18</v>
      </c>
      <c r="F615" t="s">
        <v>19</v>
      </c>
      <c r="G615" t="s">
        <v>20</v>
      </c>
      <c r="H615" t="s">
        <v>45</v>
      </c>
      <c r="I615">
        <v>11</v>
      </c>
      <c r="J615" s="6">
        <v>1425.41</v>
      </c>
      <c r="K615" s="6">
        <v>15679.51</v>
      </c>
      <c r="L615" t="s">
        <v>22</v>
      </c>
      <c r="M615" t="s">
        <v>22</v>
      </c>
      <c r="N615" s="3">
        <v>46203</v>
      </c>
      <c r="O615" s="6">
        <v>15679.51</v>
      </c>
    </row>
    <row r="616" spans="1:15" x14ac:dyDescent="0.3">
      <c r="A616" t="s">
        <v>663</v>
      </c>
      <c r="B616" s="3">
        <v>45884</v>
      </c>
      <c r="C616" t="s">
        <v>625</v>
      </c>
      <c r="D616" t="s">
        <v>24</v>
      </c>
      <c r="E616" t="s">
        <v>25</v>
      </c>
      <c r="F616" t="s">
        <v>29</v>
      </c>
      <c r="G616" t="s">
        <v>20</v>
      </c>
      <c r="H616" t="s">
        <v>21</v>
      </c>
      <c r="I616">
        <v>10</v>
      </c>
      <c r="J616" s="6">
        <v>857.78</v>
      </c>
      <c r="K616" s="6">
        <v>8577.7999999999993</v>
      </c>
      <c r="L616" t="s">
        <v>22</v>
      </c>
      <c r="M616" t="s">
        <v>22</v>
      </c>
      <c r="N616" s="3">
        <v>46203</v>
      </c>
      <c r="O616" s="6">
        <v>8577.7999999999993</v>
      </c>
    </row>
    <row r="617" spans="1:15" x14ac:dyDescent="0.3">
      <c r="A617" t="s">
        <v>664</v>
      </c>
      <c r="B617" s="3">
        <v>45884</v>
      </c>
      <c r="C617" t="s">
        <v>625</v>
      </c>
      <c r="D617" t="s">
        <v>24</v>
      </c>
      <c r="E617" t="s">
        <v>25</v>
      </c>
      <c r="F617" t="s">
        <v>19</v>
      </c>
      <c r="G617" t="s">
        <v>20</v>
      </c>
      <c r="H617" t="s">
        <v>21</v>
      </c>
      <c r="I617">
        <v>10</v>
      </c>
      <c r="J617" s="6">
        <v>885.61</v>
      </c>
      <c r="K617" s="6">
        <v>8856.1</v>
      </c>
      <c r="L617" t="s">
        <v>22</v>
      </c>
      <c r="M617" t="s">
        <v>22</v>
      </c>
      <c r="N617" s="3">
        <v>46203</v>
      </c>
      <c r="O617" s="6">
        <v>8856.1</v>
      </c>
    </row>
    <row r="618" spans="1:15" x14ac:dyDescent="0.3">
      <c r="A618" t="s">
        <v>665</v>
      </c>
      <c r="B618" s="3">
        <v>45885</v>
      </c>
      <c r="C618" t="s">
        <v>625</v>
      </c>
      <c r="D618" t="s">
        <v>49</v>
      </c>
      <c r="E618" t="s">
        <v>25</v>
      </c>
      <c r="F618" t="s">
        <v>19</v>
      </c>
      <c r="G618" t="s">
        <v>39</v>
      </c>
      <c r="H618" t="s">
        <v>21</v>
      </c>
      <c r="I618">
        <v>10</v>
      </c>
      <c r="J618" s="6">
        <v>508.74</v>
      </c>
      <c r="K618" s="6">
        <v>5087.3999999999996</v>
      </c>
      <c r="L618" t="s">
        <v>22</v>
      </c>
      <c r="M618" t="s">
        <v>22</v>
      </c>
      <c r="N618" s="3">
        <v>46203</v>
      </c>
      <c r="O618" s="6">
        <v>5087.3999999999996</v>
      </c>
    </row>
    <row r="619" spans="1:15" x14ac:dyDescent="0.3">
      <c r="A619" t="s">
        <v>666</v>
      </c>
      <c r="B619" s="3">
        <v>45886</v>
      </c>
      <c r="C619" t="s">
        <v>625</v>
      </c>
      <c r="D619" t="s">
        <v>24</v>
      </c>
      <c r="E619" t="s">
        <v>18</v>
      </c>
      <c r="F619" t="s">
        <v>19</v>
      </c>
      <c r="G619" t="s">
        <v>39</v>
      </c>
      <c r="H619" t="s">
        <v>40</v>
      </c>
      <c r="I619">
        <v>10</v>
      </c>
      <c r="J619" s="6">
        <v>877.56</v>
      </c>
      <c r="K619" s="6">
        <v>8775.6</v>
      </c>
      <c r="L619" t="s">
        <v>22</v>
      </c>
      <c r="M619" t="s">
        <v>22</v>
      </c>
      <c r="N619" s="3">
        <v>46203</v>
      </c>
      <c r="O619" s="6">
        <v>8775.6</v>
      </c>
    </row>
    <row r="620" spans="1:15" x14ac:dyDescent="0.3">
      <c r="A620" t="s">
        <v>667</v>
      </c>
      <c r="B620" s="3">
        <v>45886</v>
      </c>
      <c r="C620" t="s">
        <v>625</v>
      </c>
      <c r="D620" t="s">
        <v>24</v>
      </c>
      <c r="E620" t="s">
        <v>28</v>
      </c>
      <c r="F620" t="s">
        <v>38</v>
      </c>
      <c r="G620" t="s">
        <v>39</v>
      </c>
      <c r="H620" t="s">
        <v>21</v>
      </c>
      <c r="I620">
        <v>10</v>
      </c>
      <c r="J620" s="6">
        <v>811.3</v>
      </c>
      <c r="K620" s="6">
        <v>8113</v>
      </c>
      <c r="L620" t="s">
        <v>22</v>
      </c>
      <c r="M620" t="s">
        <v>22</v>
      </c>
      <c r="N620" s="3">
        <v>46203</v>
      </c>
      <c r="O620" s="6">
        <v>8113</v>
      </c>
    </row>
    <row r="621" spans="1:15" x14ac:dyDescent="0.3">
      <c r="A621" t="s">
        <v>668</v>
      </c>
      <c r="B621" s="3">
        <v>45887</v>
      </c>
      <c r="C621" t="s">
        <v>625</v>
      </c>
      <c r="D621" t="s">
        <v>24</v>
      </c>
      <c r="E621" t="s">
        <v>18</v>
      </c>
      <c r="F621" t="s">
        <v>51</v>
      </c>
      <c r="G621" t="s">
        <v>39</v>
      </c>
      <c r="H621" t="s">
        <v>34</v>
      </c>
      <c r="I621">
        <v>10</v>
      </c>
      <c r="J621" s="6">
        <v>892.32</v>
      </c>
      <c r="K621" s="6">
        <v>8923.2000000000007</v>
      </c>
      <c r="L621" t="s">
        <v>22</v>
      </c>
      <c r="M621" t="s">
        <v>22</v>
      </c>
      <c r="N621" s="3">
        <v>46203</v>
      </c>
      <c r="O621" s="6">
        <v>8923.2000000000007</v>
      </c>
    </row>
    <row r="622" spans="1:15" x14ac:dyDescent="0.3">
      <c r="A622" t="s">
        <v>669</v>
      </c>
      <c r="B622" s="3">
        <v>45887</v>
      </c>
      <c r="C622" t="s">
        <v>625</v>
      </c>
      <c r="D622" t="s">
        <v>24</v>
      </c>
      <c r="E622" t="s">
        <v>18</v>
      </c>
      <c r="F622" t="s">
        <v>29</v>
      </c>
      <c r="G622" t="s">
        <v>39</v>
      </c>
      <c r="H622" t="s">
        <v>21</v>
      </c>
      <c r="I622">
        <v>7</v>
      </c>
      <c r="J622" s="6">
        <v>931.37</v>
      </c>
      <c r="K622" s="6">
        <v>6519.59</v>
      </c>
      <c r="L622" t="s">
        <v>30</v>
      </c>
      <c r="M622" t="s">
        <v>43</v>
      </c>
      <c r="N622" s="3">
        <v>46108</v>
      </c>
      <c r="O622" s="6">
        <v>6519.59</v>
      </c>
    </row>
    <row r="623" spans="1:15" x14ac:dyDescent="0.3">
      <c r="A623" t="s">
        <v>670</v>
      </c>
      <c r="B623" s="3">
        <v>45887</v>
      </c>
      <c r="C623" t="s">
        <v>625</v>
      </c>
      <c r="D623" t="s">
        <v>17</v>
      </c>
      <c r="E623" t="s">
        <v>28</v>
      </c>
      <c r="F623" t="s">
        <v>33</v>
      </c>
      <c r="G623" t="s">
        <v>26</v>
      </c>
      <c r="H623" t="s">
        <v>34</v>
      </c>
      <c r="I623">
        <v>10</v>
      </c>
      <c r="J623" s="6">
        <v>1563.97</v>
      </c>
      <c r="K623" s="6">
        <v>15639.7</v>
      </c>
      <c r="L623" t="s">
        <v>22</v>
      </c>
      <c r="M623" t="s">
        <v>22</v>
      </c>
      <c r="N623" s="3">
        <v>46203</v>
      </c>
      <c r="O623" s="6">
        <v>15639.7</v>
      </c>
    </row>
    <row r="624" spans="1:15" x14ac:dyDescent="0.3">
      <c r="A624" t="s">
        <v>671</v>
      </c>
      <c r="B624" s="3">
        <v>45887</v>
      </c>
      <c r="C624" t="s">
        <v>625</v>
      </c>
      <c r="D624" t="s">
        <v>17</v>
      </c>
      <c r="E624" t="s">
        <v>25</v>
      </c>
      <c r="F624" t="s">
        <v>29</v>
      </c>
      <c r="G624" t="s">
        <v>20</v>
      </c>
      <c r="H624" t="s">
        <v>34</v>
      </c>
      <c r="I624">
        <v>10</v>
      </c>
      <c r="J624" s="6">
        <v>1540.48</v>
      </c>
      <c r="K624" s="6">
        <v>15404.8</v>
      </c>
      <c r="L624" t="s">
        <v>22</v>
      </c>
      <c r="M624" t="s">
        <v>22</v>
      </c>
      <c r="N624" s="3">
        <v>46203</v>
      </c>
      <c r="O624" s="6">
        <v>15404.8</v>
      </c>
    </row>
    <row r="625" spans="1:15" x14ac:dyDescent="0.3">
      <c r="A625" t="s">
        <v>672</v>
      </c>
      <c r="B625" s="3">
        <v>45888</v>
      </c>
      <c r="C625" t="s">
        <v>625</v>
      </c>
      <c r="D625" t="s">
        <v>17</v>
      </c>
      <c r="E625" t="s">
        <v>50</v>
      </c>
      <c r="F625" t="s">
        <v>29</v>
      </c>
      <c r="G625" t="s">
        <v>39</v>
      </c>
      <c r="H625" t="s">
        <v>21</v>
      </c>
      <c r="I625">
        <v>10</v>
      </c>
      <c r="J625" s="6">
        <v>1380.75</v>
      </c>
      <c r="K625" s="6">
        <v>13807.5</v>
      </c>
      <c r="L625" t="s">
        <v>30</v>
      </c>
      <c r="M625" t="s">
        <v>41</v>
      </c>
      <c r="N625" s="3">
        <v>46182</v>
      </c>
      <c r="O625" s="6">
        <v>13807.5</v>
      </c>
    </row>
    <row r="626" spans="1:15" x14ac:dyDescent="0.3">
      <c r="A626" t="s">
        <v>673</v>
      </c>
      <c r="B626" s="3">
        <v>45888</v>
      </c>
      <c r="C626" t="s">
        <v>625</v>
      </c>
      <c r="D626" t="s">
        <v>17</v>
      </c>
      <c r="E626" t="s">
        <v>28</v>
      </c>
      <c r="F626" t="s">
        <v>19</v>
      </c>
      <c r="G626" t="s">
        <v>39</v>
      </c>
      <c r="H626" t="s">
        <v>21</v>
      </c>
      <c r="I626">
        <v>10</v>
      </c>
      <c r="J626" s="6">
        <v>1349.42</v>
      </c>
      <c r="K626" s="6">
        <v>13494.2</v>
      </c>
      <c r="L626" t="s">
        <v>22</v>
      </c>
      <c r="M626" t="s">
        <v>22</v>
      </c>
      <c r="N626" s="3">
        <v>46203</v>
      </c>
      <c r="O626" s="6">
        <v>13494.2</v>
      </c>
    </row>
    <row r="627" spans="1:15" x14ac:dyDescent="0.3">
      <c r="A627" t="s">
        <v>674</v>
      </c>
      <c r="B627" s="3">
        <v>45889</v>
      </c>
      <c r="C627" t="s">
        <v>625</v>
      </c>
      <c r="D627" t="s">
        <v>24</v>
      </c>
      <c r="E627" t="s">
        <v>25</v>
      </c>
      <c r="F627" t="s">
        <v>51</v>
      </c>
      <c r="G627" t="s">
        <v>39</v>
      </c>
      <c r="H627" t="s">
        <v>21</v>
      </c>
      <c r="I627">
        <v>10</v>
      </c>
      <c r="J627" s="6">
        <v>815.79</v>
      </c>
      <c r="K627" s="6">
        <v>8157.9</v>
      </c>
      <c r="L627" t="s">
        <v>22</v>
      </c>
      <c r="M627" t="s">
        <v>22</v>
      </c>
      <c r="N627" s="3">
        <v>46203</v>
      </c>
      <c r="O627" s="6">
        <v>8157.9</v>
      </c>
    </row>
    <row r="628" spans="1:15" x14ac:dyDescent="0.3">
      <c r="A628" t="s">
        <v>675</v>
      </c>
      <c r="B628" s="3">
        <v>45889</v>
      </c>
      <c r="C628" t="s">
        <v>625</v>
      </c>
      <c r="D628" t="s">
        <v>49</v>
      </c>
      <c r="E628" t="s">
        <v>25</v>
      </c>
      <c r="F628" t="s">
        <v>19</v>
      </c>
      <c r="G628" t="s">
        <v>39</v>
      </c>
      <c r="H628" t="s">
        <v>40</v>
      </c>
      <c r="I628">
        <v>10</v>
      </c>
      <c r="J628" s="6">
        <v>545.80999999999995</v>
      </c>
      <c r="K628" s="6">
        <v>5458.1</v>
      </c>
      <c r="L628" t="s">
        <v>22</v>
      </c>
      <c r="M628" t="s">
        <v>22</v>
      </c>
      <c r="N628" s="3">
        <v>46203</v>
      </c>
      <c r="O628" s="6">
        <v>5458.1</v>
      </c>
    </row>
    <row r="629" spans="1:15" x14ac:dyDescent="0.3">
      <c r="A629" t="s">
        <v>676</v>
      </c>
      <c r="B629" s="3">
        <v>45889</v>
      </c>
      <c r="C629" t="s">
        <v>625</v>
      </c>
      <c r="D629" t="s">
        <v>24</v>
      </c>
      <c r="E629" t="s">
        <v>25</v>
      </c>
      <c r="F629" t="s">
        <v>51</v>
      </c>
      <c r="G629" t="s">
        <v>39</v>
      </c>
      <c r="H629" t="s">
        <v>40</v>
      </c>
      <c r="I629">
        <v>10</v>
      </c>
      <c r="J629" s="6">
        <v>939.24</v>
      </c>
      <c r="K629" s="6">
        <v>9392.4</v>
      </c>
      <c r="L629" t="s">
        <v>22</v>
      </c>
      <c r="M629" t="s">
        <v>22</v>
      </c>
      <c r="N629" s="3">
        <v>46203</v>
      </c>
      <c r="O629" s="6">
        <v>9392.4</v>
      </c>
    </row>
    <row r="630" spans="1:15" x14ac:dyDescent="0.3">
      <c r="A630" t="s">
        <v>677</v>
      </c>
      <c r="B630" s="3">
        <v>45889</v>
      </c>
      <c r="C630" t="s">
        <v>625</v>
      </c>
      <c r="D630" t="s">
        <v>49</v>
      </c>
      <c r="E630" t="s">
        <v>25</v>
      </c>
      <c r="F630" t="s">
        <v>38</v>
      </c>
      <c r="G630" t="s">
        <v>20</v>
      </c>
      <c r="H630" t="s">
        <v>45</v>
      </c>
      <c r="I630">
        <v>10</v>
      </c>
      <c r="J630" s="6">
        <v>486.72</v>
      </c>
      <c r="K630" s="6">
        <v>4867.2</v>
      </c>
      <c r="L630" t="s">
        <v>22</v>
      </c>
      <c r="M630" t="s">
        <v>22</v>
      </c>
      <c r="N630" s="3">
        <v>46203</v>
      </c>
      <c r="O630" s="6">
        <v>4867.2</v>
      </c>
    </row>
    <row r="631" spans="1:15" x14ac:dyDescent="0.3">
      <c r="A631" t="s">
        <v>678</v>
      </c>
      <c r="B631" s="3">
        <v>45889</v>
      </c>
      <c r="C631" t="s">
        <v>625</v>
      </c>
      <c r="D631" t="s">
        <v>24</v>
      </c>
      <c r="E631" t="s">
        <v>25</v>
      </c>
      <c r="F631" t="s">
        <v>33</v>
      </c>
      <c r="G631" t="s">
        <v>26</v>
      </c>
      <c r="H631" t="s">
        <v>21</v>
      </c>
      <c r="I631">
        <v>10</v>
      </c>
      <c r="J631" s="6">
        <v>822.64</v>
      </c>
      <c r="K631" s="6">
        <v>8226.4</v>
      </c>
      <c r="L631" t="s">
        <v>22</v>
      </c>
      <c r="M631" t="s">
        <v>22</v>
      </c>
      <c r="N631" s="3">
        <v>46203</v>
      </c>
      <c r="O631" s="6">
        <v>8226.4</v>
      </c>
    </row>
    <row r="632" spans="1:15" x14ac:dyDescent="0.3">
      <c r="A632" t="s">
        <v>679</v>
      </c>
      <c r="B632" s="3">
        <v>45889</v>
      </c>
      <c r="C632" t="s">
        <v>625</v>
      </c>
      <c r="D632" t="s">
        <v>49</v>
      </c>
      <c r="E632" t="s">
        <v>25</v>
      </c>
      <c r="F632" t="s">
        <v>33</v>
      </c>
      <c r="G632" t="s">
        <v>39</v>
      </c>
      <c r="H632" t="s">
        <v>40</v>
      </c>
      <c r="I632">
        <v>10</v>
      </c>
      <c r="J632" s="6">
        <v>453.41</v>
      </c>
      <c r="K632" s="6">
        <v>4534.1000000000004</v>
      </c>
      <c r="L632" t="s">
        <v>22</v>
      </c>
      <c r="M632" t="s">
        <v>22</v>
      </c>
      <c r="N632" s="3">
        <v>46203</v>
      </c>
      <c r="O632" s="6">
        <v>4534.1000000000004</v>
      </c>
    </row>
    <row r="633" spans="1:15" x14ac:dyDescent="0.3">
      <c r="A633" t="s">
        <v>680</v>
      </c>
      <c r="B633" s="3">
        <v>45889</v>
      </c>
      <c r="C633" t="s">
        <v>625</v>
      </c>
      <c r="D633" t="s">
        <v>17</v>
      </c>
      <c r="E633" t="s">
        <v>28</v>
      </c>
      <c r="F633" t="s">
        <v>29</v>
      </c>
      <c r="G633" t="s">
        <v>39</v>
      </c>
      <c r="H633" t="s">
        <v>21</v>
      </c>
      <c r="I633">
        <v>10</v>
      </c>
      <c r="J633" s="6">
        <v>1440.14</v>
      </c>
      <c r="K633" s="6">
        <v>14401.4</v>
      </c>
      <c r="L633" t="s">
        <v>22</v>
      </c>
      <c r="M633" t="s">
        <v>22</v>
      </c>
      <c r="N633" s="3">
        <v>46203</v>
      </c>
      <c r="O633" s="6">
        <v>14401.4</v>
      </c>
    </row>
    <row r="634" spans="1:15" x14ac:dyDescent="0.3">
      <c r="A634" t="s">
        <v>681</v>
      </c>
      <c r="B634" s="3">
        <v>45890</v>
      </c>
      <c r="C634" t="s">
        <v>625</v>
      </c>
      <c r="D634" t="s">
        <v>17</v>
      </c>
      <c r="E634" t="s">
        <v>18</v>
      </c>
      <c r="F634" t="s">
        <v>51</v>
      </c>
      <c r="G634" t="s">
        <v>26</v>
      </c>
      <c r="H634" t="s">
        <v>21</v>
      </c>
      <c r="I634">
        <v>1</v>
      </c>
      <c r="J634" s="6">
        <v>1521.33</v>
      </c>
      <c r="K634" s="6">
        <v>1521.33</v>
      </c>
      <c r="L634" t="s">
        <v>30</v>
      </c>
      <c r="M634" t="s">
        <v>41</v>
      </c>
      <c r="N634" s="3">
        <v>45933</v>
      </c>
      <c r="O634" s="6">
        <v>1521.33</v>
      </c>
    </row>
    <row r="635" spans="1:15" x14ac:dyDescent="0.3">
      <c r="A635" t="s">
        <v>682</v>
      </c>
      <c r="B635" s="3">
        <v>45890</v>
      </c>
      <c r="C635" t="s">
        <v>625</v>
      </c>
      <c r="D635" t="s">
        <v>49</v>
      </c>
      <c r="E635" t="s">
        <v>28</v>
      </c>
      <c r="F635" t="s">
        <v>19</v>
      </c>
      <c r="G635" t="s">
        <v>26</v>
      </c>
      <c r="H635" t="s">
        <v>34</v>
      </c>
      <c r="I635">
        <v>10</v>
      </c>
      <c r="J635" s="6">
        <v>488.24</v>
      </c>
      <c r="K635" s="6">
        <v>4882.3999999999996</v>
      </c>
      <c r="L635" t="s">
        <v>22</v>
      </c>
      <c r="M635" t="s">
        <v>22</v>
      </c>
      <c r="N635" s="3">
        <v>46203</v>
      </c>
      <c r="O635" s="6">
        <v>4882.3999999999996</v>
      </c>
    </row>
    <row r="636" spans="1:15" x14ac:dyDescent="0.3">
      <c r="A636" t="s">
        <v>683</v>
      </c>
      <c r="B636" s="3">
        <v>45890</v>
      </c>
      <c r="C636" t="s">
        <v>625</v>
      </c>
      <c r="D636" t="s">
        <v>17</v>
      </c>
      <c r="E636" t="s">
        <v>50</v>
      </c>
      <c r="F636" t="s">
        <v>38</v>
      </c>
      <c r="G636" t="s">
        <v>39</v>
      </c>
      <c r="H636" t="s">
        <v>21</v>
      </c>
      <c r="I636">
        <v>10</v>
      </c>
      <c r="J636" s="6">
        <v>1556.23</v>
      </c>
      <c r="K636" s="6">
        <v>15562.3</v>
      </c>
      <c r="L636" t="s">
        <v>30</v>
      </c>
      <c r="M636" t="s">
        <v>80</v>
      </c>
      <c r="N636" s="3">
        <v>46196</v>
      </c>
      <c r="O636" s="6">
        <v>15562.3</v>
      </c>
    </row>
    <row r="637" spans="1:15" x14ac:dyDescent="0.3">
      <c r="A637" t="s">
        <v>684</v>
      </c>
      <c r="B637" s="3">
        <v>45890</v>
      </c>
      <c r="C637" t="s">
        <v>625</v>
      </c>
      <c r="D637" t="s">
        <v>24</v>
      </c>
      <c r="E637" t="s">
        <v>25</v>
      </c>
      <c r="F637" t="s">
        <v>33</v>
      </c>
      <c r="G637" t="s">
        <v>39</v>
      </c>
      <c r="H637" t="s">
        <v>21</v>
      </c>
      <c r="I637">
        <v>5</v>
      </c>
      <c r="J637" s="6">
        <v>857.36</v>
      </c>
      <c r="K637" s="6">
        <v>4286.8</v>
      </c>
      <c r="L637" t="s">
        <v>30</v>
      </c>
      <c r="M637" t="s">
        <v>31</v>
      </c>
      <c r="N637" s="3">
        <v>46056</v>
      </c>
      <c r="O637" s="6">
        <v>4286.8</v>
      </c>
    </row>
    <row r="638" spans="1:15" x14ac:dyDescent="0.3">
      <c r="A638" t="s">
        <v>685</v>
      </c>
      <c r="B638" s="3">
        <v>45891</v>
      </c>
      <c r="C638" t="s">
        <v>625</v>
      </c>
      <c r="D638" t="s">
        <v>49</v>
      </c>
      <c r="E638" t="s">
        <v>50</v>
      </c>
      <c r="F638" t="s">
        <v>19</v>
      </c>
      <c r="G638" t="s">
        <v>39</v>
      </c>
      <c r="H638" t="s">
        <v>45</v>
      </c>
      <c r="I638">
        <v>10</v>
      </c>
      <c r="J638" s="6">
        <v>525.21</v>
      </c>
      <c r="K638" s="6">
        <v>5252.1</v>
      </c>
      <c r="L638" t="s">
        <v>22</v>
      </c>
      <c r="M638" t="s">
        <v>22</v>
      </c>
      <c r="N638" s="3">
        <v>46203</v>
      </c>
      <c r="O638" s="6">
        <v>5252.1</v>
      </c>
    </row>
    <row r="639" spans="1:15" x14ac:dyDescent="0.3">
      <c r="A639" t="s">
        <v>686</v>
      </c>
      <c r="B639" s="3">
        <v>45892</v>
      </c>
      <c r="C639" t="s">
        <v>625</v>
      </c>
      <c r="D639" t="s">
        <v>49</v>
      </c>
      <c r="E639" t="s">
        <v>25</v>
      </c>
      <c r="F639" t="s">
        <v>38</v>
      </c>
      <c r="G639" t="s">
        <v>26</v>
      </c>
      <c r="H639" t="s">
        <v>21</v>
      </c>
      <c r="I639">
        <v>10</v>
      </c>
      <c r="J639" s="6">
        <v>477.92</v>
      </c>
      <c r="K639" s="6">
        <v>4779.2</v>
      </c>
      <c r="L639" t="s">
        <v>22</v>
      </c>
      <c r="M639" t="s">
        <v>22</v>
      </c>
      <c r="N639" s="3">
        <v>46203</v>
      </c>
      <c r="O639" s="6">
        <v>4779.2</v>
      </c>
    </row>
    <row r="640" spans="1:15" x14ac:dyDescent="0.3">
      <c r="A640" t="s">
        <v>687</v>
      </c>
      <c r="B640" s="3">
        <v>45892</v>
      </c>
      <c r="C640" t="s">
        <v>625</v>
      </c>
      <c r="D640" t="s">
        <v>49</v>
      </c>
      <c r="E640" t="s">
        <v>25</v>
      </c>
      <c r="F640" t="s">
        <v>29</v>
      </c>
      <c r="G640" t="s">
        <v>26</v>
      </c>
      <c r="H640" t="s">
        <v>45</v>
      </c>
      <c r="I640">
        <v>5</v>
      </c>
      <c r="J640" s="6">
        <v>463.03</v>
      </c>
      <c r="K640" s="6">
        <v>2315.15</v>
      </c>
      <c r="L640" t="s">
        <v>30</v>
      </c>
      <c r="M640" t="s">
        <v>80</v>
      </c>
      <c r="N640" s="3">
        <v>46053</v>
      </c>
      <c r="O640" s="6">
        <v>2315.15</v>
      </c>
    </row>
    <row r="641" spans="1:15" x14ac:dyDescent="0.3">
      <c r="A641" t="s">
        <v>688</v>
      </c>
      <c r="B641" s="3">
        <v>45893</v>
      </c>
      <c r="C641" t="s">
        <v>625</v>
      </c>
      <c r="D641" t="s">
        <v>24</v>
      </c>
      <c r="E641" t="s">
        <v>25</v>
      </c>
      <c r="F641" t="s">
        <v>33</v>
      </c>
      <c r="G641" t="s">
        <v>39</v>
      </c>
      <c r="H641" t="s">
        <v>40</v>
      </c>
      <c r="I641">
        <v>10</v>
      </c>
      <c r="J641" s="6">
        <v>973.66</v>
      </c>
      <c r="K641" s="6">
        <v>9736.6</v>
      </c>
      <c r="L641" t="s">
        <v>22</v>
      </c>
      <c r="M641" t="s">
        <v>22</v>
      </c>
      <c r="N641" s="3">
        <v>46203</v>
      </c>
      <c r="O641" s="6">
        <v>9736.6</v>
      </c>
    </row>
    <row r="642" spans="1:15" x14ac:dyDescent="0.3">
      <c r="A642" t="s">
        <v>689</v>
      </c>
      <c r="B642" s="3">
        <v>45894</v>
      </c>
      <c r="C642" t="s">
        <v>625</v>
      </c>
      <c r="D642" t="s">
        <v>49</v>
      </c>
      <c r="E642" t="s">
        <v>25</v>
      </c>
      <c r="F642" t="s">
        <v>19</v>
      </c>
      <c r="G642" t="s">
        <v>39</v>
      </c>
      <c r="H642" t="s">
        <v>21</v>
      </c>
      <c r="I642">
        <v>10</v>
      </c>
      <c r="J642" s="6">
        <v>522.45000000000005</v>
      </c>
      <c r="K642" s="6">
        <v>5224.5</v>
      </c>
      <c r="L642" t="s">
        <v>22</v>
      </c>
      <c r="M642" t="s">
        <v>22</v>
      </c>
      <c r="N642" s="3">
        <v>46203</v>
      </c>
      <c r="O642" s="6">
        <v>5224.5</v>
      </c>
    </row>
    <row r="643" spans="1:15" x14ac:dyDescent="0.3">
      <c r="A643" t="s">
        <v>690</v>
      </c>
      <c r="B643" s="3">
        <v>45894</v>
      </c>
      <c r="C643" t="s">
        <v>625</v>
      </c>
      <c r="D643" t="s">
        <v>49</v>
      </c>
      <c r="E643" t="s">
        <v>25</v>
      </c>
      <c r="F643" t="s">
        <v>29</v>
      </c>
      <c r="G643" t="s">
        <v>39</v>
      </c>
      <c r="H643" t="s">
        <v>40</v>
      </c>
      <c r="I643">
        <v>5</v>
      </c>
      <c r="J643" s="6">
        <v>540.58000000000004</v>
      </c>
      <c r="K643" s="6">
        <v>2702.9</v>
      </c>
      <c r="L643" t="s">
        <v>30</v>
      </c>
      <c r="M643" t="s">
        <v>43</v>
      </c>
      <c r="N643" s="3">
        <v>46047</v>
      </c>
      <c r="O643" s="6">
        <v>2702.9</v>
      </c>
    </row>
    <row r="644" spans="1:15" x14ac:dyDescent="0.3">
      <c r="A644" t="s">
        <v>691</v>
      </c>
      <c r="B644" s="3">
        <v>45895</v>
      </c>
      <c r="C644" t="s">
        <v>625</v>
      </c>
      <c r="D644" t="s">
        <v>24</v>
      </c>
      <c r="E644" t="s">
        <v>25</v>
      </c>
      <c r="F644" t="s">
        <v>38</v>
      </c>
      <c r="G644" t="s">
        <v>39</v>
      </c>
      <c r="H644" t="s">
        <v>21</v>
      </c>
      <c r="I644">
        <v>10</v>
      </c>
      <c r="J644" s="6">
        <v>828.86</v>
      </c>
      <c r="K644" s="6">
        <v>8288.6</v>
      </c>
      <c r="L644" t="s">
        <v>22</v>
      </c>
      <c r="M644" t="s">
        <v>22</v>
      </c>
      <c r="N644" s="3">
        <v>46203</v>
      </c>
      <c r="O644" s="6">
        <v>8288.6</v>
      </c>
    </row>
    <row r="645" spans="1:15" x14ac:dyDescent="0.3">
      <c r="A645" t="s">
        <v>692</v>
      </c>
      <c r="B645" s="3">
        <v>45895</v>
      </c>
      <c r="C645" t="s">
        <v>625</v>
      </c>
      <c r="D645" t="s">
        <v>17</v>
      </c>
      <c r="E645" t="s">
        <v>28</v>
      </c>
      <c r="F645" t="s">
        <v>51</v>
      </c>
      <c r="G645" t="s">
        <v>26</v>
      </c>
      <c r="H645" t="s">
        <v>45</v>
      </c>
      <c r="I645">
        <v>10</v>
      </c>
      <c r="J645" s="6">
        <v>1487.4</v>
      </c>
      <c r="K645" s="6">
        <v>14874</v>
      </c>
      <c r="L645" t="s">
        <v>22</v>
      </c>
      <c r="M645" t="s">
        <v>22</v>
      </c>
      <c r="N645" s="3">
        <v>46203</v>
      </c>
      <c r="O645" s="6">
        <v>14874</v>
      </c>
    </row>
    <row r="646" spans="1:15" x14ac:dyDescent="0.3">
      <c r="A646" t="s">
        <v>693</v>
      </c>
      <c r="B646" s="3">
        <v>45895</v>
      </c>
      <c r="C646" t="s">
        <v>625</v>
      </c>
      <c r="D646" t="s">
        <v>49</v>
      </c>
      <c r="E646" t="s">
        <v>50</v>
      </c>
      <c r="F646" t="s">
        <v>38</v>
      </c>
      <c r="G646" t="s">
        <v>39</v>
      </c>
      <c r="H646" t="s">
        <v>21</v>
      </c>
      <c r="I646">
        <v>8</v>
      </c>
      <c r="J646" s="6">
        <v>538.61</v>
      </c>
      <c r="K646" s="6">
        <v>4308.88</v>
      </c>
      <c r="L646" t="s">
        <v>30</v>
      </c>
      <c r="M646" t="s">
        <v>41</v>
      </c>
      <c r="N646" s="3">
        <v>46151</v>
      </c>
      <c r="O646" s="6">
        <v>4308.88</v>
      </c>
    </row>
    <row r="647" spans="1:15" x14ac:dyDescent="0.3">
      <c r="A647" t="s">
        <v>694</v>
      </c>
      <c r="B647" s="3">
        <v>45895</v>
      </c>
      <c r="C647" t="s">
        <v>625</v>
      </c>
      <c r="D647" t="s">
        <v>24</v>
      </c>
      <c r="E647" t="s">
        <v>28</v>
      </c>
      <c r="F647" t="s">
        <v>19</v>
      </c>
      <c r="G647" t="s">
        <v>39</v>
      </c>
      <c r="H647" t="s">
        <v>34</v>
      </c>
      <c r="I647">
        <v>10</v>
      </c>
      <c r="J647" s="6">
        <v>830.47</v>
      </c>
      <c r="K647" s="6">
        <v>8304.7000000000007</v>
      </c>
      <c r="L647" t="s">
        <v>22</v>
      </c>
      <c r="M647" t="s">
        <v>22</v>
      </c>
      <c r="N647" s="3">
        <v>46203</v>
      </c>
      <c r="O647" s="6">
        <v>8304.7000000000007</v>
      </c>
    </row>
    <row r="648" spans="1:15" x14ac:dyDescent="0.3">
      <c r="A648" t="s">
        <v>695</v>
      </c>
      <c r="B648" s="3">
        <v>45896</v>
      </c>
      <c r="C648" t="s">
        <v>625</v>
      </c>
      <c r="D648" t="s">
        <v>17</v>
      </c>
      <c r="E648" t="s">
        <v>25</v>
      </c>
      <c r="F648" t="s">
        <v>51</v>
      </c>
      <c r="G648" t="s">
        <v>39</v>
      </c>
      <c r="H648" t="s">
        <v>40</v>
      </c>
      <c r="I648">
        <v>10</v>
      </c>
      <c r="J648" s="6">
        <v>1382.89</v>
      </c>
      <c r="K648" s="6">
        <v>13828.9</v>
      </c>
      <c r="L648" t="s">
        <v>22</v>
      </c>
      <c r="M648" t="s">
        <v>22</v>
      </c>
      <c r="N648" s="3">
        <v>46203</v>
      </c>
      <c r="O648" s="6">
        <v>13828.9</v>
      </c>
    </row>
    <row r="649" spans="1:15" x14ac:dyDescent="0.3">
      <c r="A649" t="s">
        <v>696</v>
      </c>
      <c r="B649" s="3">
        <v>45896</v>
      </c>
      <c r="C649" t="s">
        <v>625</v>
      </c>
      <c r="D649" t="s">
        <v>17</v>
      </c>
      <c r="E649" t="s">
        <v>18</v>
      </c>
      <c r="F649" t="s">
        <v>29</v>
      </c>
      <c r="G649" t="s">
        <v>39</v>
      </c>
      <c r="H649" t="s">
        <v>40</v>
      </c>
      <c r="I649">
        <v>6</v>
      </c>
      <c r="J649" s="6">
        <v>1541.47</v>
      </c>
      <c r="K649" s="6">
        <v>9248.82</v>
      </c>
      <c r="L649" t="s">
        <v>30</v>
      </c>
      <c r="M649" t="s">
        <v>36</v>
      </c>
      <c r="N649" s="3">
        <v>46084</v>
      </c>
      <c r="O649" s="6">
        <v>9248.82</v>
      </c>
    </row>
    <row r="650" spans="1:15" x14ac:dyDescent="0.3">
      <c r="A650" t="s">
        <v>697</v>
      </c>
      <c r="B650" s="3">
        <v>45896</v>
      </c>
      <c r="C650" t="s">
        <v>625</v>
      </c>
      <c r="D650" t="s">
        <v>49</v>
      </c>
      <c r="E650" t="s">
        <v>28</v>
      </c>
      <c r="F650" t="s">
        <v>38</v>
      </c>
      <c r="G650" t="s">
        <v>39</v>
      </c>
      <c r="H650" t="s">
        <v>45</v>
      </c>
      <c r="I650">
        <v>10</v>
      </c>
      <c r="J650" s="6">
        <v>537.77</v>
      </c>
      <c r="K650" s="6">
        <v>5377.7</v>
      </c>
      <c r="L650" t="s">
        <v>22</v>
      </c>
      <c r="M650" t="s">
        <v>22</v>
      </c>
      <c r="N650" s="3">
        <v>46203</v>
      </c>
      <c r="O650" s="6">
        <v>5377.7</v>
      </c>
    </row>
    <row r="651" spans="1:15" x14ac:dyDescent="0.3">
      <c r="A651" t="s">
        <v>698</v>
      </c>
      <c r="B651" s="3">
        <v>45896</v>
      </c>
      <c r="C651" t="s">
        <v>625</v>
      </c>
      <c r="D651" t="s">
        <v>17</v>
      </c>
      <c r="E651" t="s">
        <v>25</v>
      </c>
      <c r="F651" t="s">
        <v>19</v>
      </c>
      <c r="G651" t="s">
        <v>39</v>
      </c>
      <c r="H651" t="s">
        <v>21</v>
      </c>
      <c r="I651">
        <v>10</v>
      </c>
      <c r="J651" s="6">
        <v>1565.24</v>
      </c>
      <c r="K651" s="6">
        <v>15652.4</v>
      </c>
      <c r="L651" t="s">
        <v>22</v>
      </c>
      <c r="M651" t="s">
        <v>22</v>
      </c>
      <c r="N651" s="3">
        <v>46203</v>
      </c>
      <c r="O651" s="6">
        <v>15652.4</v>
      </c>
    </row>
    <row r="652" spans="1:15" x14ac:dyDescent="0.3">
      <c r="A652" t="s">
        <v>699</v>
      </c>
      <c r="B652" s="3">
        <v>45897</v>
      </c>
      <c r="C652" t="s">
        <v>625</v>
      </c>
      <c r="D652" t="s">
        <v>17</v>
      </c>
      <c r="E652" t="s">
        <v>25</v>
      </c>
      <c r="F652" t="s">
        <v>38</v>
      </c>
      <c r="G652" t="s">
        <v>39</v>
      </c>
      <c r="H652" t="s">
        <v>21</v>
      </c>
      <c r="I652">
        <v>10</v>
      </c>
      <c r="J652" s="6">
        <v>1620.6</v>
      </c>
      <c r="K652" s="6">
        <v>16206</v>
      </c>
      <c r="L652" t="s">
        <v>22</v>
      </c>
      <c r="M652" t="s">
        <v>22</v>
      </c>
      <c r="N652" s="3">
        <v>46203</v>
      </c>
      <c r="O652" s="6">
        <v>16206</v>
      </c>
    </row>
    <row r="653" spans="1:15" x14ac:dyDescent="0.3">
      <c r="A653" t="s">
        <v>700</v>
      </c>
      <c r="B653" s="3">
        <v>45898</v>
      </c>
      <c r="C653" t="s">
        <v>625</v>
      </c>
      <c r="D653" t="s">
        <v>49</v>
      </c>
      <c r="E653" t="s">
        <v>18</v>
      </c>
      <c r="F653" t="s">
        <v>19</v>
      </c>
      <c r="G653" t="s">
        <v>39</v>
      </c>
      <c r="H653" t="s">
        <v>21</v>
      </c>
      <c r="I653">
        <v>10</v>
      </c>
      <c r="J653" s="6">
        <v>492.39</v>
      </c>
      <c r="K653" s="6">
        <v>4923.8999999999996</v>
      </c>
      <c r="L653" t="s">
        <v>22</v>
      </c>
      <c r="M653" t="s">
        <v>22</v>
      </c>
      <c r="N653" s="3">
        <v>46203</v>
      </c>
      <c r="O653" s="6">
        <v>4923.8999999999996</v>
      </c>
    </row>
    <row r="654" spans="1:15" x14ac:dyDescent="0.3">
      <c r="A654" t="s">
        <v>701</v>
      </c>
      <c r="B654" s="3">
        <v>45898</v>
      </c>
      <c r="C654" t="s">
        <v>625</v>
      </c>
      <c r="D654" t="s">
        <v>17</v>
      </c>
      <c r="E654" t="s">
        <v>28</v>
      </c>
      <c r="F654" t="s">
        <v>19</v>
      </c>
      <c r="G654" t="s">
        <v>39</v>
      </c>
      <c r="H654" t="s">
        <v>21</v>
      </c>
      <c r="I654">
        <v>3</v>
      </c>
      <c r="J654" s="6">
        <v>1587.08</v>
      </c>
      <c r="K654" s="6">
        <v>4761.24</v>
      </c>
      <c r="L654" t="s">
        <v>30</v>
      </c>
      <c r="M654" t="s">
        <v>43</v>
      </c>
      <c r="N654" s="3">
        <v>46004</v>
      </c>
      <c r="O654" s="6">
        <v>4761.24</v>
      </c>
    </row>
    <row r="655" spans="1:15" x14ac:dyDescent="0.3">
      <c r="A655" t="s">
        <v>702</v>
      </c>
      <c r="B655" s="3">
        <v>45899</v>
      </c>
      <c r="C655" t="s">
        <v>625</v>
      </c>
      <c r="D655" t="s">
        <v>49</v>
      </c>
      <c r="E655" t="s">
        <v>50</v>
      </c>
      <c r="F655" t="s">
        <v>29</v>
      </c>
      <c r="G655" t="s">
        <v>20</v>
      </c>
      <c r="H655" t="s">
        <v>34</v>
      </c>
      <c r="I655">
        <v>10</v>
      </c>
      <c r="J655" s="6">
        <v>475.47</v>
      </c>
      <c r="K655" s="6">
        <v>4754.7</v>
      </c>
      <c r="L655" t="s">
        <v>22</v>
      </c>
      <c r="M655" t="s">
        <v>22</v>
      </c>
      <c r="N655" s="3">
        <v>46203</v>
      </c>
      <c r="O655" s="6">
        <v>4754.7</v>
      </c>
    </row>
    <row r="656" spans="1:15" x14ac:dyDescent="0.3">
      <c r="A656" t="s">
        <v>703</v>
      </c>
      <c r="B656" s="3">
        <v>45899</v>
      </c>
      <c r="C656" t="s">
        <v>625</v>
      </c>
      <c r="D656" t="s">
        <v>49</v>
      </c>
      <c r="E656" t="s">
        <v>28</v>
      </c>
      <c r="F656" t="s">
        <v>29</v>
      </c>
      <c r="G656" t="s">
        <v>39</v>
      </c>
      <c r="H656" t="s">
        <v>21</v>
      </c>
      <c r="I656">
        <v>10</v>
      </c>
      <c r="J656" s="6">
        <v>477.98</v>
      </c>
      <c r="K656" s="6">
        <v>4779.8</v>
      </c>
      <c r="L656" t="s">
        <v>22</v>
      </c>
      <c r="M656" t="s">
        <v>22</v>
      </c>
      <c r="N656" s="3">
        <v>46203</v>
      </c>
      <c r="O656" s="6">
        <v>4779.8</v>
      </c>
    </row>
    <row r="657" spans="1:15" x14ac:dyDescent="0.3">
      <c r="A657" t="s">
        <v>704</v>
      </c>
      <c r="B657" s="3">
        <v>45899</v>
      </c>
      <c r="C657" t="s">
        <v>625</v>
      </c>
      <c r="D657" t="s">
        <v>24</v>
      </c>
      <c r="E657" t="s">
        <v>25</v>
      </c>
      <c r="F657" t="s">
        <v>38</v>
      </c>
      <c r="G657" t="s">
        <v>39</v>
      </c>
      <c r="H657" t="s">
        <v>45</v>
      </c>
      <c r="I657">
        <v>10</v>
      </c>
      <c r="J657" s="6">
        <v>824.55</v>
      </c>
      <c r="K657" s="6">
        <v>8245.5</v>
      </c>
      <c r="L657" t="s">
        <v>22</v>
      </c>
      <c r="M657" t="s">
        <v>22</v>
      </c>
      <c r="N657" s="3">
        <v>46203</v>
      </c>
      <c r="O657" s="6">
        <v>8245.5</v>
      </c>
    </row>
    <row r="658" spans="1:15" x14ac:dyDescent="0.3">
      <c r="A658" t="s">
        <v>705</v>
      </c>
      <c r="B658" s="3">
        <v>45899</v>
      </c>
      <c r="C658" t="s">
        <v>625</v>
      </c>
      <c r="D658" t="s">
        <v>49</v>
      </c>
      <c r="E658" t="s">
        <v>28</v>
      </c>
      <c r="F658" t="s">
        <v>51</v>
      </c>
      <c r="G658" t="s">
        <v>39</v>
      </c>
      <c r="H658" t="s">
        <v>45</v>
      </c>
      <c r="I658">
        <v>10</v>
      </c>
      <c r="J658" s="6">
        <v>469.35</v>
      </c>
      <c r="K658" s="6">
        <v>4693.5</v>
      </c>
      <c r="L658" t="s">
        <v>22</v>
      </c>
      <c r="M658" t="s">
        <v>22</v>
      </c>
      <c r="N658" s="3">
        <v>46203</v>
      </c>
      <c r="O658" s="6">
        <v>4693.5</v>
      </c>
    </row>
    <row r="659" spans="1:15" x14ac:dyDescent="0.3">
      <c r="A659" t="s">
        <v>706</v>
      </c>
      <c r="B659" s="3">
        <v>45900</v>
      </c>
      <c r="C659" t="s">
        <v>625</v>
      </c>
      <c r="D659" t="s">
        <v>49</v>
      </c>
      <c r="E659" t="s">
        <v>50</v>
      </c>
      <c r="F659" t="s">
        <v>29</v>
      </c>
      <c r="G659" t="s">
        <v>39</v>
      </c>
      <c r="H659" t="s">
        <v>34</v>
      </c>
      <c r="I659">
        <v>4</v>
      </c>
      <c r="J659" s="6">
        <v>510.25</v>
      </c>
      <c r="K659" s="6">
        <v>2041</v>
      </c>
      <c r="L659" t="s">
        <v>30</v>
      </c>
      <c r="M659" t="s">
        <v>43</v>
      </c>
      <c r="N659" s="3">
        <v>46032</v>
      </c>
      <c r="O659" s="6">
        <v>2041</v>
      </c>
    </row>
    <row r="660" spans="1:15" x14ac:dyDescent="0.3">
      <c r="A660" t="s">
        <v>707</v>
      </c>
      <c r="B660" s="3">
        <v>45900</v>
      </c>
      <c r="C660" t="s">
        <v>625</v>
      </c>
      <c r="D660" t="s">
        <v>24</v>
      </c>
      <c r="E660" t="s">
        <v>28</v>
      </c>
      <c r="F660" t="s">
        <v>33</v>
      </c>
      <c r="G660" t="s">
        <v>20</v>
      </c>
      <c r="H660" t="s">
        <v>21</v>
      </c>
      <c r="I660">
        <v>10</v>
      </c>
      <c r="J660" s="6">
        <v>896.98</v>
      </c>
      <c r="K660" s="6">
        <v>8969.7999999999993</v>
      </c>
      <c r="L660" t="s">
        <v>22</v>
      </c>
      <c r="M660" t="s">
        <v>22</v>
      </c>
      <c r="N660" s="3">
        <v>46203</v>
      </c>
      <c r="O660" s="6">
        <v>8969.7999999999993</v>
      </c>
    </row>
    <row r="661" spans="1:15" x14ac:dyDescent="0.3">
      <c r="A661" t="s">
        <v>708</v>
      </c>
      <c r="B661" s="3">
        <v>45900</v>
      </c>
      <c r="C661" t="s">
        <v>625</v>
      </c>
      <c r="D661" t="s">
        <v>24</v>
      </c>
      <c r="E661" t="s">
        <v>25</v>
      </c>
      <c r="F661" t="s">
        <v>29</v>
      </c>
      <c r="G661" t="s">
        <v>39</v>
      </c>
      <c r="H661" t="s">
        <v>40</v>
      </c>
      <c r="I661">
        <v>7</v>
      </c>
      <c r="J661" s="6">
        <v>877.16</v>
      </c>
      <c r="K661" s="6">
        <v>6140.12</v>
      </c>
      <c r="L661" t="s">
        <v>30</v>
      </c>
      <c r="M661" t="s">
        <v>36</v>
      </c>
      <c r="N661" s="3">
        <v>46123</v>
      </c>
      <c r="O661" s="6">
        <v>6140.12</v>
      </c>
    </row>
    <row r="662" spans="1:15" x14ac:dyDescent="0.3">
      <c r="A662" t="s">
        <v>709</v>
      </c>
      <c r="B662" s="3">
        <v>45900</v>
      </c>
      <c r="C662" t="s">
        <v>625</v>
      </c>
      <c r="D662" t="s">
        <v>49</v>
      </c>
      <c r="E662" t="s">
        <v>25</v>
      </c>
      <c r="F662" t="s">
        <v>29</v>
      </c>
      <c r="G662" t="s">
        <v>39</v>
      </c>
      <c r="H662" t="s">
        <v>21</v>
      </c>
      <c r="I662">
        <v>3</v>
      </c>
      <c r="J662" s="6">
        <v>508.78</v>
      </c>
      <c r="K662" s="6">
        <v>1526.34</v>
      </c>
      <c r="L662" t="s">
        <v>30</v>
      </c>
      <c r="M662" t="s">
        <v>41</v>
      </c>
      <c r="N662" s="3">
        <v>45988</v>
      </c>
      <c r="O662" s="6">
        <v>1526.34</v>
      </c>
    </row>
    <row r="663" spans="1:15" x14ac:dyDescent="0.3">
      <c r="A663" t="s">
        <v>710</v>
      </c>
      <c r="B663" s="3">
        <v>45900</v>
      </c>
      <c r="C663" t="s">
        <v>625</v>
      </c>
      <c r="D663" t="s">
        <v>17</v>
      </c>
      <c r="E663" t="s">
        <v>28</v>
      </c>
      <c r="F663" t="s">
        <v>29</v>
      </c>
      <c r="G663" t="s">
        <v>26</v>
      </c>
      <c r="H663" t="s">
        <v>45</v>
      </c>
      <c r="I663">
        <v>10</v>
      </c>
      <c r="J663" s="6">
        <v>1353.72</v>
      </c>
      <c r="K663" s="6">
        <v>13537.2</v>
      </c>
      <c r="L663" t="s">
        <v>22</v>
      </c>
      <c r="M663" t="s">
        <v>22</v>
      </c>
      <c r="N663" s="3">
        <v>46203</v>
      </c>
      <c r="O663" s="6">
        <v>13537.2</v>
      </c>
    </row>
    <row r="664" spans="1:15" x14ac:dyDescent="0.3">
      <c r="A664" t="s">
        <v>711</v>
      </c>
      <c r="B664" s="3">
        <v>45900</v>
      </c>
      <c r="C664" t="s">
        <v>625</v>
      </c>
      <c r="D664" t="s">
        <v>24</v>
      </c>
      <c r="E664" t="s">
        <v>18</v>
      </c>
      <c r="F664" t="s">
        <v>19</v>
      </c>
      <c r="G664" t="s">
        <v>39</v>
      </c>
      <c r="H664" t="s">
        <v>34</v>
      </c>
      <c r="I664">
        <v>10</v>
      </c>
      <c r="J664" s="6">
        <v>837.92</v>
      </c>
      <c r="K664" s="6">
        <v>8379.2000000000007</v>
      </c>
      <c r="L664" t="s">
        <v>22</v>
      </c>
      <c r="M664" t="s">
        <v>22</v>
      </c>
      <c r="N664" s="3">
        <v>46203</v>
      </c>
      <c r="O664" s="6">
        <v>8379.2000000000007</v>
      </c>
    </row>
    <row r="665" spans="1:15" x14ac:dyDescent="0.3">
      <c r="A665" t="s">
        <v>712</v>
      </c>
      <c r="B665" s="3">
        <v>45901</v>
      </c>
      <c r="C665" t="s">
        <v>713</v>
      </c>
      <c r="D665" t="s">
        <v>24</v>
      </c>
      <c r="E665" t="s">
        <v>28</v>
      </c>
      <c r="F665" t="s">
        <v>51</v>
      </c>
      <c r="G665" t="s">
        <v>39</v>
      </c>
      <c r="H665" t="s">
        <v>45</v>
      </c>
      <c r="I665">
        <v>10</v>
      </c>
      <c r="J665" s="6">
        <v>865.16</v>
      </c>
      <c r="K665" s="6">
        <v>8651.6</v>
      </c>
      <c r="L665" t="s">
        <v>22</v>
      </c>
      <c r="M665" t="s">
        <v>22</v>
      </c>
      <c r="N665" s="3">
        <v>46203</v>
      </c>
      <c r="O665" s="6">
        <v>8651.6</v>
      </c>
    </row>
    <row r="666" spans="1:15" x14ac:dyDescent="0.3">
      <c r="A666" t="s">
        <v>714</v>
      </c>
      <c r="B666" s="3">
        <v>45901</v>
      </c>
      <c r="C666" t="s">
        <v>713</v>
      </c>
      <c r="D666" t="s">
        <v>49</v>
      </c>
      <c r="E666" t="s">
        <v>25</v>
      </c>
      <c r="F666" t="s">
        <v>33</v>
      </c>
      <c r="G666" t="s">
        <v>39</v>
      </c>
      <c r="H666" t="s">
        <v>40</v>
      </c>
      <c r="I666">
        <v>4</v>
      </c>
      <c r="J666" s="6">
        <v>500.37</v>
      </c>
      <c r="K666" s="6">
        <v>2001.48</v>
      </c>
      <c r="L666" t="s">
        <v>30</v>
      </c>
      <c r="M666" t="s">
        <v>43</v>
      </c>
      <c r="N666" s="3">
        <v>46019</v>
      </c>
      <c r="O666" s="6">
        <v>2001.48</v>
      </c>
    </row>
    <row r="667" spans="1:15" x14ac:dyDescent="0.3">
      <c r="A667" t="s">
        <v>715</v>
      </c>
      <c r="B667" s="3">
        <v>45902</v>
      </c>
      <c r="C667" t="s">
        <v>713</v>
      </c>
      <c r="D667" t="s">
        <v>24</v>
      </c>
      <c r="E667" t="s">
        <v>50</v>
      </c>
      <c r="F667" t="s">
        <v>19</v>
      </c>
      <c r="G667" t="s">
        <v>39</v>
      </c>
      <c r="H667" t="s">
        <v>21</v>
      </c>
      <c r="I667">
        <v>5</v>
      </c>
      <c r="J667" s="6">
        <v>900.43</v>
      </c>
      <c r="K667" s="6">
        <v>4502.1499999999996</v>
      </c>
      <c r="L667" t="s">
        <v>30</v>
      </c>
      <c r="M667" t="s">
        <v>36</v>
      </c>
      <c r="N667" s="3">
        <v>46068</v>
      </c>
      <c r="O667" s="6">
        <v>4502.1499999999996</v>
      </c>
    </row>
    <row r="668" spans="1:15" x14ac:dyDescent="0.3">
      <c r="A668" t="s">
        <v>716</v>
      </c>
      <c r="B668" s="3">
        <v>45902</v>
      </c>
      <c r="C668" t="s">
        <v>713</v>
      </c>
      <c r="D668" t="s">
        <v>24</v>
      </c>
      <c r="E668" t="s">
        <v>50</v>
      </c>
      <c r="F668" t="s">
        <v>29</v>
      </c>
      <c r="G668" t="s">
        <v>39</v>
      </c>
      <c r="H668" t="s">
        <v>40</v>
      </c>
      <c r="I668">
        <v>10</v>
      </c>
      <c r="J668" s="6">
        <v>843.14</v>
      </c>
      <c r="K668" s="6">
        <v>8431.4</v>
      </c>
      <c r="L668" t="s">
        <v>22</v>
      </c>
      <c r="M668" t="s">
        <v>22</v>
      </c>
      <c r="N668" s="3">
        <v>46203</v>
      </c>
      <c r="O668" s="6">
        <v>8431.4</v>
      </c>
    </row>
    <row r="669" spans="1:15" x14ac:dyDescent="0.3">
      <c r="A669" t="s">
        <v>717</v>
      </c>
      <c r="B669" s="3">
        <v>45902</v>
      </c>
      <c r="C669" t="s">
        <v>713</v>
      </c>
      <c r="D669" t="s">
        <v>49</v>
      </c>
      <c r="E669" t="s">
        <v>50</v>
      </c>
      <c r="F669" t="s">
        <v>33</v>
      </c>
      <c r="G669" t="s">
        <v>39</v>
      </c>
      <c r="H669" t="s">
        <v>40</v>
      </c>
      <c r="I669">
        <v>10</v>
      </c>
      <c r="J669" s="6">
        <v>456.59</v>
      </c>
      <c r="K669" s="6">
        <v>4565.8999999999996</v>
      </c>
      <c r="L669" t="s">
        <v>22</v>
      </c>
      <c r="M669" t="s">
        <v>22</v>
      </c>
      <c r="N669" s="3">
        <v>46203</v>
      </c>
      <c r="O669" s="6">
        <v>4565.8999999999996</v>
      </c>
    </row>
    <row r="670" spans="1:15" x14ac:dyDescent="0.3">
      <c r="A670" t="s">
        <v>718</v>
      </c>
      <c r="B670" s="3">
        <v>45902</v>
      </c>
      <c r="C670" t="s">
        <v>713</v>
      </c>
      <c r="D670" t="s">
        <v>24</v>
      </c>
      <c r="E670" t="s">
        <v>25</v>
      </c>
      <c r="F670" t="s">
        <v>19</v>
      </c>
      <c r="G670" t="s">
        <v>26</v>
      </c>
      <c r="H670" t="s">
        <v>45</v>
      </c>
      <c r="I670">
        <v>10</v>
      </c>
      <c r="J670" s="6">
        <v>892.71</v>
      </c>
      <c r="K670" s="6">
        <v>8927.1</v>
      </c>
      <c r="L670" t="s">
        <v>22</v>
      </c>
      <c r="M670" t="s">
        <v>22</v>
      </c>
      <c r="N670" s="3">
        <v>46203</v>
      </c>
      <c r="O670" s="6">
        <v>8927.1</v>
      </c>
    </row>
    <row r="671" spans="1:15" x14ac:dyDescent="0.3">
      <c r="A671" t="s">
        <v>719</v>
      </c>
      <c r="B671" s="3">
        <v>45902</v>
      </c>
      <c r="C671" t="s">
        <v>713</v>
      </c>
      <c r="D671" t="s">
        <v>49</v>
      </c>
      <c r="E671" t="s">
        <v>50</v>
      </c>
      <c r="F671" t="s">
        <v>51</v>
      </c>
      <c r="G671" t="s">
        <v>39</v>
      </c>
      <c r="H671" t="s">
        <v>21</v>
      </c>
      <c r="I671">
        <v>10</v>
      </c>
      <c r="J671" s="6">
        <v>524.16</v>
      </c>
      <c r="K671" s="6">
        <v>5241.6000000000004</v>
      </c>
      <c r="L671" t="s">
        <v>22</v>
      </c>
      <c r="M671" t="s">
        <v>22</v>
      </c>
      <c r="N671" s="3">
        <v>46203</v>
      </c>
      <c r="O671" s="6">
        <v>5241.6000000000004</v>
      </c>
    </row>
    <row r="672" spans="1:15" x14ac:dyDescent="0.3">
      <c r="A672" t="s">
        <v>720</v>
      </c>
      <c r="B672" s="3">
        <v>45903</v>
      </c>
      <c r="C672" t="s">
        <v>713</v>
      </c>
      <c r="D672" t="s">
        <v>49</v>
      </c>
      <c r="E672" t="s">
        <v>28</v>
      </c>
      <c r="F672" t="s">
        <v>38</v>
      </c>
      <c r="G672" t="s">
        <v>39</v>
      </c>
      <c r="H672" t="s">
        <v>34</v>
      </c>
      <c r="I672">
        <v>2</v>
      </c>
      <c r="J672" s="6">
        <v>456.55</v>
      </c>
      <c r="K672" s="6">
        <v>913.1</v>
      </c>
      <c r="L672" t="s">
        <v>30</v>
      </c>
      <c r="M672" t="s">
        <v>80</v>
      </c>
      <c r="N672" s="3">
        <v>45950</v>
      </c>
      <c r="O672" s="6">
        <v>913.1</v>
      </c>
    </row>
    <row r="673" spans="1:15" x14ac:dyDescent="0.3">
      <c r="A673" t="s">
        <v>721</v>
      </c>
      <c r="B673" s="3">
        <v>45905</v>
      </c>
      <c r="C673" t="s">
        <v>713</v>
      </c>
      <c r="D673" t="s">
        <v>24</v>
      </c>
      <c r="E673" t="s">
        <v>50</v>
      </c>
      <c r="F673" t="s">
        <v>29</v>
      </c>
      <c r="G673" t="s">
        <v>20</v>
      </c>
      <c r="H673" t="s">
        <v>40</v>
      </c>
      <c r="I673">
        <v>10</v>
      </c>
      <c r="J673" s="6">
        <v>814.91</v>
      </c>
      <c r="K673" s="6">
        <v>8149.1</v>
      </c>
      <c r="L673" t="s">
        <v>22</v>
      </c>
      <c r="M673" t="s">
        <v>22</v>
      </c>
      <c r="N673" s="3">
        <v>46203</v>
      </c>
      <c r="O673" s="6">
        <v>8149.1</v>
      </c>
    </row>
    <row r="674" spans="1:15" x14ac:dyDescent="0.3">
      <c r="A674" t="s">
        <v>722</v>
      </c>
      <c r="B674" s="3">
        <v>45905</v>
      </c>
      <c r="C674" t="s">
        <v>713</v>
      </c>
      <c r="D674" t="s">
        <v>24</v>
      </c>
      <c r="E674" t="s">
        <v>25</v>
      </c>
      <c r="F674" t="s">
        <v>29</v>
      </c>
      <c r="G674" t="s">
        <v>39</v>
      </c>
      <c r="H674" t="s">
        <v>34</v>
      </c>
      <c r="I674">
        <v>10</v>
      </c>
      <c r="J674" s="6">
        <v>929.73</v>
      </c>
      <c r="K674" s="6">
        <v>9297.2999999999993</v>
      </c>
      <c r="L674" t="s">
        <v>22</v>
      </c>
      <c r="M674" t="s">
        <v>22</v>
      </c>
      <c r="N674" s="3">
        <v>46203</v>
      </c>
      <c r="O674" s="6">
        <v>9297.2999999999993</v>
      </c>
    </row>
    <row r="675" spans="1:15" x14ac:dyDescent="0.3">
      <c r="A675" t="s">
        <v>723</v>
      </c>
      <c r="B675" s="3">
        <v>45905</v>
      </c>
      <c r="C675" t="s">
        <v>713</v>
      </c>
      <c r="D675" t="s">
        <v>49</v>
      </c>
      <c r="E675" t="s">
        <v>25</v>
      </c>
      <c r="F675" t="s">
        <v>38</v>
      </c>
      <c r="G675" t="s">
        <v>39</v>
      </c>
      <c r="H675" t="s">
        <v>21</v>
      </c>
      <c r="I675">
        <v>10</v>
      </c>
      <c r="J675" s="6">
        <v>463.36</v>
      </c>
      <c r="K675" s="6">
        <v>4633.6000000000004</v>
      </c>
      <c r="L675" t="s">
        <v>22</v>
      </c>
      <c r="M675" t="s">
        <v>22</v>
      </c>
      <c r="N675" s="3">
        <v>46203</v>
      </c>
      <c r="O675" s="6">
        <v>4633.6000000000004</v>
      </c>
    </row>
    <row r="676" spans="1:15" x14ac:dyDescent="0.3">
      <c r="A676" t="s">
        <v>724</v>
      </c>
      <c r="B676" s="3">
        <v>45905</v>
      </c>
      <c r="C676" t="s">
        <v>713</v>
      </c>
      <c r="D676" t="s">
        <v>17</v>
      </c>
      <c r="E676" t="s">
        <v>25</v>
      </c>
      <c r="F676" t="s">
        <v>33</v>
      </c>
      <c r="G676" t="s">
        <v>39</v>
      </c>
      <c r="H676" t="s">
        <v>34</v>
      </c>
      <c r="I676">
        <v>10</v>
      </c>
      <c r="J676" s="6">
        <v>1527.36</v>
      </c>
      <c r="K676" s="6">
        <v>15273.6</v>
      </c>
      <c r="L676" t="s">
        <v>22</v>
      </c>
      <c r="M676" t="s">
        <v>22</v>
      </c>
      <c r="N676" s="3">
        <v>46203</v>
      </c>
      <c r="O676" s="6">
        <v>15273.6</v>
      </c>
    </row>
    <row r="677" spans="1:15" x14ac:dyDescent="0.3">
      <c r="A677" t="s">
        <v>725</v>
      </c>
      <c r="B677" s="3">
        <v>45906</v>
      </c>
      <c r="C677" t="s">
        <v>713</v>
      </c>
      <c r="D677" t="s">
        <v>49</v>
      </c>
      <c r="E677" t="s">
        <v>25</v>
      </c>
      <c r="F677" t="s">
        <v>29</v>
      </c>
      <c r="G677" t="s">
        <v>20</v>
      </c>
      <c r="H677" t="s">
        <v>45</v>
      </c>
      <c r="I677">
        <v>10</v>
      </c>
      <c r="J677" s="6">
        <v>499.21</v>
      </c>
      <c r="K677" s="6">
        <v>4992.1000000000004</v>
      </c>
      <c r="L677" t="s">
        <v>22</v>
      </c>
      <c r="M677" t="s">
        <v>22</v>
      </c>
      <c r="N677" s="3">
        <v>46203</v>
      </c>
      <c r="O677" s="6">
        <v>4992.1000000000004</v>
      </c>
    </row>
    <row r="678" spans="1:15" x14ac:dyDescent="0.3">
      <c r="A678" t="s">
        <v>726</v>
      </c>
      <c r="B678" s="3">
        <v>45906</v>
      </c>
      <c r="C678" t="s">
        <v>713</v>
      </c>
      <c r="D678" t="s">
        <v>24</v>
      </c>
      <c r="E678" t="s">
        <v>25</v>
      </c>
      <c r="F678" t="s">
        <v>29</v>
      </c>
      <c r="G678" t="s">
        <v>39</v>
      </c>
      <c r="H678" t="s">
        <v>40</v>
      </c>
      <c r="I678">
        <v>10</v>
      </c>
      <c r="J678" s="6">
        <v>961.31</v>
      </c>
      <c r="K678" s="6">
        <v>9613.1</v>
      </c>
      <c r="L678" t="s">
        <v>22</v>
      </c>
      <c r="M678" t="s">
        <v>22</v>
      </c>
      <c r="N678" s="3">
        <v>46203</v>
      </c>
      <c r="O678" s="6">
        <v>9613.1</v>
      </c>
    </row>
    <row r="679" spans="1:15" x14ac:dyDescent="0.3">
      <c r="A679" t="s">
        <v>727</v>
      </c>
      <c r="B679" s="3">
        <v>45907</v>
      </c>
      <c r="C679" t="s">
        <v>713</v>
      </c>
      <c r="D679" t="s">
        <v>24</v>
      </c>
      <c r="E679" t="s">
        <v>50</v>
      </c>
      <c r="F679" t="s">
        <v>33</v>
      </c>
      <c r="G679" t="s">
        <v>39</v>
      </c>
      <c r="H679" t="s">
        <v>34</v>
      </c>
      <c r="I679">
        <v>8</v>
      </c>
      <c r="J679" s="6">
        <v>835.94</v>
      </c>
      <c r="K679" s="6">
        <v>6687.52</v>
      </c>
      <c r="L679" t="s">
        <v>30</v>
      </c>
      <c r="M679" t="s">
        <v>31</v>
      </c>
      <c r="N679" s="3">
        <v>46143</v>
      </c>
      <c r="O679" s="6">
        <v>6687.52</v>
      </c>
    </row>
    <row r="680" spans="1:15" x14ac:dyDescent="0.3">
      <c r="A680" t="s">
        <v>728</v>
      </c>
      <c r="B680" s="3">
        <v>45907</v>
      </c>
      <c r="C680" t="s">
        <v>713</v>
      </c>
      <c r="D680" t="s">
        <v>49</v>
      </c>
      <c r="E680" t="s">
        <v>18</v>
      </c>
      <c r="F680" t="s">
        <v>51</v>
      </c>
      <c r="G680" t="s">
        <v>39</v>
      </c>
      <c r="H680" t="s">
        <v>40</v>
      </c>
      <c r="I680">
        <v>10</v>
      </c>
      <c r="J680" s="6">
        <v>503.55</v>
      </c>
      <c r="K680" s="6">
        <v>5035.5</v>
      </c>
      <c r="L680" t="s">
        <v>22</v>
      </c>
      <c r="M680" t="s">
        <v>22</v>
      </c>
      <c r="N680" s="3">
        <v>46203</v>
      </c>
      <c r="O680" s="6">
        <v>5035.5</v>
      </c>
    </row>
    <row r="681" spans="1:15" x14ac:dyDescent="0.3">
      <c r="A681" t="s">
        <v>729</v>
      </c>
      <c r="B681" s="3">
        <v>45907</v>
      </c>
      <c r="C681" t="s">
        <v>713</v>
      </c>
      <c r="D681" t="s">
        <v>24</v>
      </c>
      <c r="E681" t="s">
        <v>25</v>
      </c>
      <c r="F681" t="s">
        <v>29</v>
      </c>
      <c r="G681" t="s">
        <v>20</v>
      </c>
      <c r="H681" t="s">
        <v>21</v>
      </c>
      <c r="I681">
        <v>10</v>
      </c>
      <c r="J681" s="6">
        <v>883.49</v>
      </c>
      <c r="K681" s="6">
        <v>8834.9</v>
      </c>
      <c r="L681" t="s">
        <v>22</v>
      </c>
      <c r="M681" t="s">
        <v>22</v>
      </c>
      <c r="N681" s="3">
        <v>46203</v>
      </c>
      <c r="O681" s="6">
        <v>8834.9</v>
      </c>
    </row>
    <row r="682" spans="1:15" x14ac:dyDescent="0.3">
      <c r="A682" t="s">
        <v>730</v>
      </c>
      <c r="B682" s="3">
        <v>45907</v>
      </c>
      <c r="C682" t="s">
        <v>713</v>
      </c>
      <c r="D682" t="s">
        <v>24</v>
      </c>
      <c r="E682" t="s">
        <v>28</v>
      </c>
      <c r="F682" t="s">
        <v>19</v>
      </c>
      <c r="G682" t="s">
        <v>39</v>
      </c>
      <c r="H682" t="s">
        <v>21</v>
      </c>
      <c r="I682">
        <v>10</v>
      </c>
      <c r="J682" s="6">
        <v>980.28</v>
      </c>
      <c r="K682" s="6">
        <v>9802.7999999999993</v>
      </c>
      <c r="L682" t="s">
        <v>22</v>
      </c>
      <c r="M682" t="s">
        <v>22</v>
      </c>
      <c r="N682" s="3">
        <v>46203</v>
      </c>
      <c r="O682" s="6">
        <v>9802.7999999999993</v>
      </c>
    </row>
    <row r="683" spans="1:15" x14ac:dyDescent="0.3">
      <c r="A683" t="s">
        <v>731</v>
      </c>
      <c r="B683" s="3">
        <v>45908</v>
      </c>
      <c r="C683" t="s">
        <v>713</v>
      </c>
      <c r="D683" t="s">
        <v>17</v>
      </c>
      <c r="E683" t="s">
        <v>25</v>
      </c>
      <c r="F683" t="s">
        <v>29</v>
      </c>
      <c r="G683" t="s">
        <v>20</v>
      </c>
      <c r="H683" t="s">
        <v>21</v>
      </c>
      <c r="I683">
        <v>10</v>
      </c>
      <c r="J683" s="6">
        <v>1472.49</v>
      </c>
      <c r="K683" s="6">
        <v>14724.9</v>
      </c>
      <c r="L683" t="s">
        <v>22</v>
      </c>
      <c r="M683" t="s">
        <v>22</v>
      </c>
      <c r="N683" s="3">
        <v>46203</v>
      </c>
      <c r="O683" s="6">
        <v>14724.9</v>
      </c>
    </row>
    <row r="684" spans="1:15" x14ac:dyDescent="0.3">
      <c r="A684" t="s">
        <v>732</v>
      </c>
      <c r="B684" s="3">
        <v>45908</v>
      </c>
      <c r="C684" t="s">
        <v>713</v>
      </c>
      <c r="D684" t="s">
        <v>49</v>
      </c>
      <c r="E684" t="s">
        <v>18</v>
      </c>
      <c r="F684" t="s">
        <v>29</v>
      </c>
      <c r="G684" t="s">
        <v>39</v>
      </c>
      <c r="H684" t="s">
        <v>40</v>
      </c>
      <c r="I684">
        <v>4</v>
      </c>
      <c r="J684" s="6">
        <v>545.76</v>
      </c>
      <c r="K684" s="6">
        <v>2183.04</v>
      </c>
      <c r="L684" t="s">
        <v>30</v>
      </c>
      <c r="M684" t="s">
        <v>43</v>
      </c>
      <c r="N684" s="3">
        <v>46039</v>
      </c>
      <c r="O684" s="6">
        <v>2183.04</v>
      </c>
    </row>
    <row r="685" spans="1:15" x14ac:dyDescent="0.3">
      <c r="A685" t="s">
        <v>733</v>
      </c>
      <c r="B685" s="3">
        <v>45908</v>
      </c>
      <c r="C685" t="s">
        <v>713</v>
      </c>
      <c r="D685" t="s">
        <v>49</v>
      </c>
      <c r="E685" t="s">
        <v>28</v>
      </c>
      <c r="F685" t="s">
        <v>38</v>
      </c>
      <c r="G685" t="s">
        <v>39</v>
      </c>
      <c r="H685" t="s">
        <v>40</v>
      </c>
      <c r="I685">
        <v>10</v>
      </c>
      <c r="J685" s="6">
        <v>473.74</v>
      </c>
      <c r="K685" s="6">
        <v>4737.3999999999996</v>
      </c>
      <c r="L685" t="s">
        <v>22</v>
      </c>
      <c r="M685" t="s">
        <v>22</v>
      </c>
      <c r="N685" s="3">
        <v>46203</v>
      </c>
      <c r="O685" s="6">
        <v>4737.3999999999996</v>
      </c>
    </row>
    <row r="686" spans="1:15" x14ac:dyDescent="0.3">
      <c r="A686" t="s">
        <v>734</v>
      </c>
      <c r="B686" s="3">
        <v>45908</v>
      </c>
      <c r="C686" t="s">
        <v>713</v>
      </c>
      <c r="D686" t="s">
        <v>17</v>
      </c>
      <c r="E686" t="s">
        <v>25</v>
      </c>
      <c r="F686" t="s">
        <v>19</v>
      </c>
      <c r="G686" t="s">
        <v>39</v>
      </c>
      <c r="H686" t="s">
        <v>34</v>
      </c>
      <c r="I686">
        <v>10</v>
      </c>
      <c r="J686" s="6">
        <v>1446.83</v>
      </c>
      <c r="K686" s="6">
        <v>14468.3</v>
      </c>
      <c r="L686" t="s">
        <v>22</v>
      </c>
      <c r="M686" t="s">
        <v>22</v>
      </c>
      <c r="N686" s="3">
        <v>46203</v>
      </c>
      <c r="O686" s="6">
        <v>14468.3</v>
      </c>
    </row>
    <row r="687" spans="1:15" x14ac:dyDescent="0.3">
      <c r="A687" t="s">
        <v>735</v>
      </c>
      <c r="B687" s="3">
        <v>45909</v>
      </c>
      <c r="C687" t="s">
        <v>713</v>
      </c>
      <c r="D687" t="s">
        <v>24</v>
      </c>
      <c r="E687" t="s">
        <v>25</v>
      </c>
      <c r="F687" t="s">
        <v>29</v>
      </c>
      <c r="G687" t="s">
        <v>39</v>
      </c>
      <c r="H687" t="s">
        <v>34</v>
      </c>
      <c r="I687">
        <v>10</v>
      </c>
      <c r="J687" s="6">
        <v>897.49</v>
      </c>
      <c r="K687" s="6">
        <v>8974.9</v>
      </c>
      <c r="L687" t="s">
        <v>22</v>
      </c>
      <c r="M687" t="s">
        <v>22</v>
      </c>
      <c r="N687" s="3">
        <v>46203</v>
      </c>
      <c r="O687" s="6">
        <v>8974.9</v>
      </c>
    </row>
    <row r="688" spans="1:15" x14ac:dyDescent="0.3">
      <c r="A688" t="s">
        <v>736</v>
      </c>
      <c r="B688" s="3">
        <v>45910</v>
      </c>
      <c r="C688" t="s">
        <v>713</v>
      </c>
      <c r="D688" t="s">
        <v>49</v>
      </c>
      <c r="E688" t="s">
        <v>50</v>
      </c>
      <c r="F688" t="s">
        <v>29</v>
      </c>
      <c r="G688" t="s">
        <v>39</v>
      </c>
      <c r="H688" t="s">
        <v>21</v>
      </c>
      <c r="I688">
        <v>10</v>
      </c>
      <c r="J688" s="6">
        <v>498.49</v>
      </c>
      <c r="K688" s="6">
        <v>4984.8999999999996</v>
      </c>
      <c r="L688" t="s">
        <v>22</v>
      </c>
      <c r="M688" t="s">
        <v>22</v>
      </c>
      <c r="N688" s="3">
        <v>46203</v>
      </c>
      <c r="O688" s="6">
        <v>4984.8999999999996</v>
      </c>
    </row>
    <row r="689" spans="1:15" x14ac:dyDescent="0.3">
      <c r="A689" t="s">
        <v>737</v>
      </c>
      <c r="B689" s="3">
        <v>45911</v>
      </c>
      <c r="C689" t="s">
        <v>713</v>
      </c>
      <c r="D689" t="s">
        <v>17</v>
      </c>
      <c r="E689" t="s">
        <v>25</v>
      </c>
      <c r="F689" t="s">
        <v>33</v>
      </c>
      <c r="G689" t="s">
        <v>20</v>
      </c>
      <c r="H689" t="s">
        <v>21</v>
      </c>
      <c r="I689">
        <v>10</v>
      </c>
      <c r="J689" s="6">
        <v>1351.9</v>
      </c>
      <c r="K689" s="6">
        <v>13519</v>
      </c>
      <c r="L689" t="s">
        <v>22</v>
      </c>
      <c r="M689" t="s">
        <v>22</v>
      </c>
      <c r="N689" s="3">
        <v>46203</v>
      </c>
      <c r="O689" s="6">
        <v>13519</v>
      </c>
    </row>
    <row r="690" spans="1:15" x14ac:dyDescent="0.3">
      <c r="A690" t="s">
        <v>738</v>
      </c>
      <c r="B690" s="3">
        <v>45911</v>
      </c>
      <c r="C690" t="s">
        <v>713</v>
      </c>
      <c r="D690" t="s">
        <v>17</v>
      </c>
      <c r="E690" t="s">
        <v>25</v>
      </c>
      <c r="F690" t="s">
        <v>19</v>
      </c>
      <c r="G690" t="s">
        <v>39</v>
      </c>
      <c r="H690" t="s">
        <v>34</v>
      </c>
      <c r="I690">
        <v>10</v>
      </c>
      <c r="J690" s="6">
        <v>1544.68</v>
      </c>
      <c r="K690" s="6">
        <v>15446.8</v>
      </c>
      <c r="L690" t="s">
        <v>22</v>
      </c>
      <c r="M690" t="s">
        <v>22</v>
      </c>
      <c r="N690" s="3">
        <v>46203</v>
      </c>
      <c r="O690" s="6">
        <v>15446.8</v>
      </c>
    </row>
    <row r="691" spans="1:15" x14ac:dyDescent="0.3">
      <c r="A691" t="s">
        <v>739</v>
      </c>
      <c r="B691" s="3">
        <v>45912</v>
      </c>
      <c r="C691" t="s">
        <v>713</v>
      </c>
      <c r="D691" t="s">
        <v>24</v>
      </c>
      <c r="E691" t="s">
        <v>18</v>
      </c>
      <c r="F691" t="s">
        <v>29</v>
      </c>
      <c r="G691" t="s">
        <v>39</v>
      </c>
      <c r="H691" t="s">
        <v>45</v>
      </c>
      <c r="I691">
        <v>6</v>
      </c>
      <c r="J691" s="6">
        <v>873.65</v>
      </c>
      <c r="K691" s="6">
        <v>5241.8999999999996</v>
      </c>
      <c r="L691" t="s">
        <v>30</v>
      </c>
      <c r="M691" t="s">
        <v>31</v>
      </c>
      <c r="N691" s="3">
        <v>46108</v>
      </c>
      <c r="O691" s="6">
        <v>5241.8999999999996</v>
      </c>
    </row>
    <row r="692" spans="1:15" x14ac:dyDescent="0.3">
      <c r="A692" t="s">
        <v>740</v>
      </c>
      <c r="B692" s="3">
        <v>45912</v>
      </c>
      <c r="C692" t="s">
        <v>713</v>
      </c>
      <c r="D692" t="s">
        <v>17</v>
      </c>
      <c r="E692" t="s">
        <v>28</v>
      </c>
      <c r="F692" t="s">
        <v>51</v>
      </c>
      <c r="G692" t="s">
        <v>20</v>
      </c>
      <c r="H692" t="s">
        <v>21</v>
      </c>
      <c r="I692">
        <v>5</v>
      </c>
      <c r="J692" s="6">
        <v>1469.03</v>
      </c>
      <c r="K692" s="6">
        <v>7345.15</v>
      </c>
      <c r="L692" t="s">
        <v>30</v>
      </c>
      <c r="M692" t="s">
        <v>31</v>
      </c>
      <c r="N692" s="3">
        <v>46073</v>
      </c>
      <c r="O692" s="6">
        <v>7345.15</v>
      </c>
    </row>
    <row r="693" spans="1:15" x14ac:dyDescent="0.3">
      <c r="A693" t="s">
        <v>741</v>
      </c>
      <c r="B693" s="3">
        <v>45912</v>
      </c>
      <c r="C693" t="s">
        <v>713</v>
      </c>
      <c r="D693" t="s">
        <v>24</v>
      </c>
      <c r="E693" t="s">
        <v>18</v>
      </c>
      <c r="F693" t="s">
        <v>19</v>
      </c>
      <c r="G693" t="s">
        <v>20</v>
      </c>
      <c r="H693" t="s">
        <v>34</v>
      </c>
      <c r="I693">
        <v>10</v>
      </c>
      <c r="J693" s="6">
        <v>901.86</v>
      </c>
      <c r="K693" s="6">
        <v>9018.6</v>
      </c>
      <c r="L693" t="s">
        <v>22</v>
      </c>
      <c r="M693" t="s">
        <v>22</v>
      </c>
      <c r="N693" s="3">
        <v>46203</v>
      </c>
      <c r="O693" s="6">
        <v>9018.6</v>
      </c>
    </row>
    <row r="694" spans="1:15" x14ac:dyDescent="0.3">
      <c r="A694" t="s">
        <v>742</v>
      </c>
      <c r="B694" s="3">
        <v>45912</v>
      </c>
      <c r="C694" t="s">
        <v>713</v>
      </c>
      <c r="D694" t="s">
        <v>24</v>
      </c>
      <c r="E694" t="s">
        <v>25</v>
      </c>
      <c r="F694" t="s">
        <v>19</v>
      </c>
      <c r="G694" t="s">
        <v>39</v>
      </c>
      <c r="H694" t="s">
        <v>34</v>
      </c>
      <c r="I694">
        <v>10</v>
      </c>
      <c r="J694" s="6">
        <v>914.11</v>
      </c>
      <c r="K694" s="6">
        <v>9141.1</v>
      </c>
      <c r="L694" t="s">
        <v>22</v>
      </c>
      <c r="M694" t="s">
        <v>22</v>
      </c>
      <c r="N694" s="3">
        <v>46203</v>
      </c>
      <c r="O694" s="6">
        <v>9141.1</v>
      </c>
    </row>
    <row r="695" spans="1:15" x14ac:dyDescent="0.3">
      <c r="A695" t="s">
        <v>743</v>
      </c>
      <c r="B695" s="3">
        <v>45912</v>
      </c>
      <c r="C695" t="s">
        <v>713</v>
      </c>
      <c r="D695" t="s">
        <v>17</v>
      </c>
      <c r="E695" t="s">
        <v>25</v>
      </c>
      <c r="F695" t="s">
        <v>19</v>
      </c>
      <c r="G695" t="s">
        <v>39</v>
      </c>
      <c r="H695" t="s">
        <v>40</v>
      </c>
      <c r="I695">
        <v>10</v>
      </c>
      <c r="J695" s="6">
        <v>1434.33</v>
      </c>
      <c r="K695" s="6">
        <v>14343.3</v>
      </c>
      <c r="L695" t="s">
        <v>22</v>
      </c>
      <c r="M695" t="s">
        <v>22</v>
      </c>
      <c r="N695" s="3">
        <v>46203</v>
      </c>
      <c r="O695" s="6">
        <v>14343.3</v>
      </c>
    </row>
    <row r="696" spans="1:15" x14ac:dyDescent="0.3">
      <c r="A696" t="s">
        <v>744</v>
      </c>
      <c r="B696" s="3">
        <v>45913</v>
      </c>
      <c r="C696" t="s">
        <v>713</v>
      </c>
      <c r="D696" t="s">
        <v>24</v>
      </c>
      <c r="E696" t="s">
        <v>18</v>
      </c>
      <c r="F696" t="s">
        <v>19</v>
      </c>
      <c r="G696" t="s">
        <v>26</v>
      </c>
      <c r="H696" t="s">
        <v>40</v>
      </c>
      <c r="I696">
        <v>10</v>
      </c>
      <c r="J696" s="6">
        <v>888.5</v>
      </c>
      <c r="K696" s="6">
        <v>8885</v>
      </c>
      <c r="L696" t="s">
        <v>22</v>
      </c>
      <c r="M696" t="s">
        <v>22</v>
      </c>
      <c r="N696" s="3">
        <v>46203</v>
      </c>
      <c r="O696" s="6">
        <v>8885</v>
      </c>
    </row>
    <row r="697" spans="1:15" x14ac:dyDescent="0.3">
      <c r="A697" t="s">
        <v>745</v>
      </c>
      <c r="B697" s="3">
        <v>45913</v>
      </c>
      <c r="C697" t="s">
        <v>713</v>
      </c>
      <c r="D697" t="s">
        <v>17</v>
      </c>
      <c r="E697" t="s">
        <v>25</v>
      </c>
      <c r="F697" t="s">
        <v>29</v>
      </c>
      <c r="G697" t="s">
        <v>20</v>
      </c>
      <c r="H697" t="s">
        <v>45</v>
      </c>
      <c r="I697">
        <v>10</v>
      </c>
      <c r="J697" s="6">
        <v>1528.51</v>
      </c>
      <c r="K697" s="6">
        <v>15285.1</v>
      </c>
      <c r="L697" t="s">
        <v>22</v>
      </c>
      <c r="M697" t="s">
        <v>22</v>
      </c>
      <c r="N697" s="3">
        <v>46203</v>
      </c>
      <c r="O697" s="6">
        <v>15285.1</v>
      </c>
    </row>
    <row r="698" spans="1:15" x14ac:dyDescent="0.3">
      <c r="A698" t="s">
        <v>746</v>
      </c>
      <c r="B698" s="3">
        <v>45913</v>
      </c>
      <c r="C698" t="s">
        <v>713</v>
      </c>
      <c r="D698" t="s">
        <v>24</v>
      </c>
      <c r="E698" t="s">
        <v>50</v>
      </c>
      <c r="F698" t="s">
        <v>29</v>
      </c>
      <c r="G698" t="s">
        <v>20</v>
      </c>
      <c r="H698" t="s">
        <v>34</v>
      </c>
      <c r="I698">
        <v>10</v>
      </c>
      <c r="J698" s="6">
        <v>980.02</v>
      </c>
      <c r="K698" s="6">
        <v>9800.2000000000007</v>
      </c>
      <c r="L698" t="s">
        <v>22</v>
      </c>
      <c r="M698" t="s">
        <v>22</v>
      </c>
      <c r="N698" s="3">
        <v>46203</v>
      </c>
      <c r="O698" s="6">
        <v>9800.2000000000007</v>
      </c>
    </row>
    <row r="699" spans="1:15" x14ac:dyDescent="0.3">
      <c r="A699" t="s">
        <v>747</v>
      </c>
      <c r="B699" s="3">
        <v>45913</v>
      </c>
      <c r="C699" t="s">
        <v>713</v>
      </c>
      <c r="D699" t="s">
        <v>17</v>
      </c>
      <c r="E699" t="s">
        <v>28</v>
      </c>
      <c r="F699" t="s">
        <v>38</v>
      </c>
      <c r="G699" t="s">
        <v>20</v>
      </c>
      <c r="H699" t="s">
        <v>21</v>
      </c>
      <c r="I699">
        <v>1</v>
      </c>
      <c r="J699" s="6">
        <v>1576.53</v>
      </c>
      <c r="K699" s="6">
        <v>1576.53</v>
      </c>
      <c r="L699" t="s">
        <v>30</v>
      </c>
      <c r="M699" t="s">
        <v>31</v>
      </c>
      <c r="N699" s="3">
        <v>45948</v>
      </c>
      <c r="O699" s="6">
        <v>1576.53</v>
      </c>
    </row>
    <row r="700" spans="1:15" x14ac:dyDescent="0.3">
      <c r="A700" t="s">
        <v>748</v>
      </c>
      <c r="B700" s="3">
        <v>45914</v>
      </c>
      <c r="C700" t="s">
        <v>713</v>
      </c>
      <c r="D700" t="s">
        <v>49</v>
      </c>
      <c r="E700" t="s">
        <v>18</v>
      </c>
      <c r="F700" t="s">
        <v>29</v>
      </c>
      <c r="G700" t="s">
        <v>20</v>
      </c>
      <c r="H700" t="s">
        <v>21</v>
      </c>
      <c r="I700">
        <v>9</v>
      </c>
      <c r="J700" s="6">
        <v>455.94</v>
      </c>
      <c r="K700" s="6">
        <v>4103.46</v>
      </c>
      <c r="L700" t="s">
        <v>22</v>
      </c>
      <c r="M700" t="s">
        <v>22</v>
      </c>
      <c r="N700" s="3">
        <v>46203</v>
      </c>
      <c r="O700" s="6">
        <v>4103.46</v>
      </c>
    </row>
    <row r="701" spans="1:15" x14ac:dyDescent="0.3">
      <c r="A701" t="s">
        <v>749</v>
      </c>
      <c r="B701" s="3">
        <v>45914</v>
      </c>
      <c r="C701" t="s">
        <v>713</v>
      </c>
      <c r="D701" t="s">
        <v>49</v>
      </c>
      <c r="E701" t="s">
        <v>25</v>
      </c>
      <c r="F701" t="s">
        <v>19</v>
      </c>
      <c r="G701" t="s">
        <v>20</v>
      </c>
      <c r="H701" t="s">
        <v>21</v>
      </c>
      <c r="I701">
        <v>9</v>
      </c>
      <c r="J701" s="6">
        <v>495.53</v>
      </c>
      <c r="K701" s="6">
        <v>4459.7700000000004</v>
      </c>
      <c r="L701" t="s">
        <v>22</v>
      </c>
      <c r="M701" t="s">
        <v>22</v>
      </c>
      <c r="N701" s="3">
        <v>46203</v>
      </c>
      <c r="O701" s="6">
        <v>4459.7700000000004</v>
      </c>
    </row>
    <row r="702" spans="1:15" x14ac:dyDescent="0.3">
      <c r="A702" t="s">
        <v>750</v>
      </c>
      <c r="B702" s="3">
        <v>45915</v>
      </c>
      <c r="C702" t="s">
        <v>713</v>
      </c>
      <c r="D702" t="s">
        <v>24</v>
      </c>
      <c r="E702" t="s">
        <v>28</v>
      </c>
      <c r="F702" t="s">
        <v>29</v>
      </c>
      <c r="G702" t="s">
        <v>39</v>
      </c>
      <c r="H702" t="s">
        <v>45</v>
      </c>
      <c r="I702">
        <v>9</v>
      </c>
      <c r="J702" s="6">
        <v>936.59</v>
      </c>
      <c r="K702" s="6">
        <v>8429.31</v>
      </c>
      <c r="L702" t="s">
        <v>30</v>
      </c>
      <c r="M702" t="s">
        <v>80</v>
      </c>
      <c r="N702" s="3">
        <v>46179</v>
      </c>
      <c r="O702" s="6">
        <v>8429.31</v>
      </c>
    </row>
    <row r="703" spans="1:15" x14ac:dyDescent="0.3">
      <c r="A703" t="s">
        <v>751</v>
      </c>
      <c r="B703" s="3">
        <v>45916</v>
      </c>
      <c r="C703" t="s">
        <v>713</v>
      </c>
      <c r="D703" t="s">
        <v>49</v>
      </c>
      <c r="E703" t="s">
        <v>25</v>
      </c>
      <c r="F703" t="s">
        <v>38</v>
      </c>
      <c r="G703" t="s">
        <v>39</v>
      </c>
      <c r="H703" t="s">
        <v>34</v>
      </c>
      <c r="I703">
        <v>7</v>
      </c>
      <c r="J703" s="6">
        <v>521.38</v>
      </c>
      <c r="K703" s="6">
        <v>3649.66</v>
      </c>
      <c r="L703" t="s">
        <v>30</v>
      </c>
      <c r="M703" t="s">
        <v>80</v>
      </c>
      <c r="N703" s="3">
        <v>46127</v>
      </c>
      <c r="O703" s="6">
        <v>3649.66</v>
      </c>
    </row>
    <row r="704" spans="1:15" x14ac:dyDescent="0.3">
      <c r="A704" t="s">
        <v>752</v>
      </c>
      <c r="B704" s="3">
        <v>45916</v>
      </c>
      <c r="C704" t="s">
        <v>713</v>
      </c>
      <c r="D704" t="s">
        <v>49</v>
      </c>
      <c r="E704" t="s">
        <v>25</v>
      </c>
      <c r="F704" t="s">
        <v>29</v>
      </c>
      <c r="G704" t="s">
        <v>39</v>
      </c>
      <c r="H704" t="s">
        <v>21</v>
      </c>
      <c r="I704">
        <v>9</v>
      </c>
      <c r="J704" s="6">
        <v>494.34</v>
      </c>
      <c r="K704" s="6">
        <v>4449.0600000000004</v>
      </c>
      <c r="L704" t="s">
        <v>22</v>
      </c>
      <c r="M704" t="s">
        <v>22</v>
      </c>
      <c r="N704" s="3">
        <v>46203</v>
      </c>
      <c r="O704" s="6">
        <v>4449.0600000000004</v>
      </c>
    </row>
    <row r="705" spans="1:15" x14ac:dyDescent="0.3">
      <c r="A705" t="s">
        <v>753</v>
      </c>
      <c r="B705" s="3">
        <v>45917</v>
      </c>
      <c r="C705" t="s">
        <v>713</v>
      </c>
      <c r="D705" t="s">
        <v>17</v>
      </c>
      <c r="E705" t="s">
        <v>18</v>
      </c>
      <c r="F705" t="s">
        <v>19</v>
      </c>
      <c r="G705" t="s">
        <v>20</v>
      </c>
      <c r="H705" t="s">
        <v>21</v>
      </c>
      <c r="I705">
        <v>1</v>
      </c>
      <c r="J705" s="6">
        <v>1536.78</v>
      </c>
      <c r="K705" s="6">
        <v>1536.78</v>
      </c>
      <c r="L705" t="s">
        <v>30</v>
      </c>
      <c r="M705" t="s">
        <v>80</v>
      </c>
      <c r="N705" s="3">
        <v>45955</v>
      </c>
      <c r="O705" s="6">
        <v>1536.78</v>
      </c>
    </row>
    <row r="706" spans="1:15" x14ac:dyDescent="0.3">
      <c r="A706" t="s">
        <v>754</v>
      </c>
      <c r="B706" s="3">
        <v>45919</v>
      </c>
      <c r="C706" t="s">
        <v>713</v>
      </c>
      <c r="D706" t="s">
        <v>24</v>
      </c>
      <c r="E706" t="s">
        <v>28</v>
      </c>
      <c r="F706" t="s">
        <v>29</v>
      </c>
      <c r="G706" t="s">
        <v>20</v>
      </c>
      <c r="H706" t="s">
        <v>21</v>
      </c>
      <c r="I706">
        <v>9</v>
      </c>
      <c r="J706" s="6">
        <v>908.08</v>
      </c>
      <c r="K706" s="6">
        <v>8172.72</v>
      </c>
      <c r="L706" t="s">
        <v>22</v>
      </c>
      <c r="M706" t="s">
        <v>22</v>
      </c>
      <c r="N706" s="3">
        <v>46203</v>
      </c>
      <c r="O706" s="6">
        <v>8172.72</v>
      </c>
    </row>
    <row r="707" spans="1:15" x14ac:dyDescent="0.3">
      <c r="A707" t="s">
        <v>755</v>
      </c>
      <c r="B707" s="3">
        <v>45919</v>
      </c>
      <c r="C707" t="s">
        <v>713</v>
      </c>
      <c r="D707" t="s">
        <v>24</v>
      </c>
      <c r="E707" t="s">
        <v>18</v>
      </c>
      <c r="F707" t="s">
        <v>19</v>
      </c>
      <c r="G707" t="s">
        <v>20</v>
      </c>
      <c r="H707" t="s">
        <v>34</v>
      </c>
      <c r="I707">
        <v>9</v>
      </c>
      <c r="J707" s="6">
        <v>813.74</v>
      </c>
      <c r="K707" s="6">
        <v>7323.66</v>
      </c>
      <c r="L707" t="s">
        <v>22</v>
      </c>
      <c r="M707" t="s">
        <v>22</v>
      </c>
      <c r="N707" s="3">
        <v>46203</v>
      </c>
      <c r="O707" s="6">
        <v>7323.66</v>
      </c>
    </row>
    <row r="708" spans="1:15" x14ac:dyDescent="0.3">
      <c r="A708" t="s">
        <v>756</v>
      </c>
      <c r="B708" s="3">
        <v>45919</v>
      </c>
      <c r="C708" t="s">
        <v>713</v>
      </c>
      <c r="D708" t="s">
        <v>24</v>
      </c>
      <c r="E708" t="s">
        <v>28</v>
      </c>
      <c r="F708" t="s">
        <v>19</v>
      </c>
      <c r="G708" t="s">
        <v>26</v>
      </c>
      <c r="H708" t="s">
        <v>21</v>
      </c>
      <c r="I708">
        <v>9</v>
      </c>
      <c r="J708" s="6">
        <v>817.36</v>
      </c>
      <c r="K708" s="6">
        <v>7356.24</v>
      </c>
      <c r="L708" t="s">
        <v>22</v>
      </c>
      <c r="M708" t="s">
        <v>22</v>
      </c>
      <c r="N708" s="3">
        <v>46203</v>
      </c>
      <c r="O708" s="6">
        <v>7356.24</v>
      </c>
    </row>
    <row r="709" spans="1:15" x14ac:dyDescent="0.3">
      <c r="A709" t="s">
        <v>757</v>
      </c>
      <c r="B709" s="3">
        <v>45919</v>
      </c>
      <c r="C709" t="s">
        <v>713</v>
      </c>
      <c r="D709" t="s">
        <v>49</v>
      </c>
      <c r="E709" t="s">
        <v>50</v>
      </c>
      <c r="F709" t="s">
        <v>29</v>
      </c>
      <c r="G709" t="s">
        <v>26</v>
      </c>
      <c r="H709" t="s">
        <v>21</v>
      </c>
      <c r="I709">
        <v>4</v>
      </c>
      <c r="J709" s="6">
        <v>460.09</v>
      </c>
      <c r="K709" s="6">
        <v>1840.36</v>
      </c>
      <c r="L709" t="s">
        <v>30</v>
      </c>
      <c r="M709" t="s">
        <v>43</v>
      </c>
      <c r="N709" s="3">
        <v>46042</v>
      </c>
      <c r="O709" s="6">
        <v>1840.36</v>
      </c>
    </row>
    <row r="710" spans="1:15" x14ac:dyDescent="0.3">
      <c r="A710" t="s">
        <v>758</v>
      </c>
      <c r="B710" s="3">
        <v>45919</v>
      </c>
      <c r="C710" t="s">
        <v>713</v>
      </c>
      <c r="D710" t="s">
        <v>17</v>
      </c>
      <c r="E710" t="s">
        <v>18</v>
      </c>
      <c r="F710" t="s">
        <v>19</v>
      </c>
      <c r="G710" t="s">
        <v>39</v>
      </c>
      <c r="H710" t="s">
        <v>21</v>
      </c>
      <c r="I710">
        <v>9</v>
      </c>
      <c r="J710" s="6">
        <v>1398.54</v>
      </c>
      <c r="K710" s="6">
        <v>12586.86</v>
      </c>
      <c r="L710" t="s">
        <v>22</v>
      </c>
      <c r="M710" t="s">
        <v>22</v>
      </c>
      <c r="N710" s="3">
        <v>46203</v>
      </c>
      <c r="O710" s="6">
        <v>12586.86</v>
      </c>
    </row>
    <row r="711" spans="1:15" x14ac:dyDescent="0.3">
      <c r="A711" t="s">
        <v>759</v>
      </c>
      <c r="B711" s="3">
        <v>45920</v>
      </c>
      <c r="C711" t="s">
        <v>713</v>
      </c>
      <c r="D711" t="s">
        <v>24</v>
      </c>
      <c r="E711" t="s">
        <v>18</v>
      </c>
      <c r="F711" t="s">
        <v>29</v>
      </c>
      <c r="G711" t="s">
        <v>26</v>
      </c>
      <c r="H711" t="s">
        <v>34</v>
      </c>
      <c r="I711">
        <v>9</v>
      </c>
      <c r="J711" s="6">
        <v>980.32</v>
      </c>
      <c r="K711" s="6">
        <v>8822.8799999999992</v>
      </c>
      <c r="L711" t="s">
        <v>22</v>
      </c>
      <c r="M711" t="s">
        <v>22</v>
      </c>
      <c r="N711" s="3">
        <v>46203</v>
      </c>
      <c r="O711" s="6">
        <v>8822.8799999999992</v>
      </c>
    </row>
    <row r="712" spans="1:15" x14ac:dyDescent="0.3">
      <c r="A712" t="s">
        <v>760</v>
      </c>
      <c r="B712" s="3">
        <v>45920</v>
      </c>
      <c r="C712" t="s">
        <v>713</v>
      </c>
      <c r="D712" t="s">
        <v>24</v>
      </c>
      <c r="E712" t="s">
        <v>25</v>
      </c>
      <c r="F712" t="s">
        <v>51</v>
      </c>
      <c r="G712" t="s">
        <v>26</v>
      </c>
      <c r="H712" t="s">
        <v>34</v>
      </c>
      <c r="I712">
        <v>9</v>
      </c>
      <c r="J712" s="6">
        <v>814.05</v>
      </c>
      <c r="K712" s="6">
        <v>7326.45</v>
      </c>
      <c r="L712" t="s">
        <v>22</v>
      </c>
      <c r="M712" t="s">
        <v>22</v>
      </c>
      <c r="N712" s="3">
        <v>46203</v>
      </c>
      <c r="O712" s="6">
        <v>7326.45</v>
      </c>
    </row>
    <row r="713" spans="1:15" x14ac:dyDescent="0.3">
      <c r="A713" t="s">
        <v>761</v>
      </c>
      <c r="B713" s="3">
        <v>45921</v>
      </c>
      <c r="C713" t="s">
        <v>713</v>
      </c>
      <c r="D713" t="s">
        <v>49</v>
      </c>
      <c r="E713" t="s">
        <v>25</v>
      </c>
      <c r="F713" t="s">
        <v>19</v>
      </c>
      <c r="G713" t="s">
        <v>39</v>
      </c>
      <c r="H713" t="s">
        <v>40</v>
      </c>
      <c r="I713">
        <v>8</v>
      </c>
      <c r="J713" s="6">
        <v>527.76</v>
      </c>
      <c r="K713" s="6">
        <v>4222.08</v>
      </c>
      <c r="L713" t="s">
        <v>30</v>
      </c>
      <c r="M713" t="s">
        <v>43</v>
      </c>
      <c r="N713" s="3">
        <v>46159</v>
      </c>
      <c r="O713" s="6">
        <v>4222.08</v>
      </c>
    </row>
    <row r="714" spans="1:15" x14ac:dyDescent="0.3">
      <c r="A714" t="s">
        <v>762</v>
      </c>
      <c r="B714" s="3">
        <v>45921</v>
      </c>
      <c r="C714" t="s">
        <v>713</v>
      </c>
      <c r="D714" t="s">
        <v>24</v>
      </c>
      <c r="E714" t="s">
        <v>28</v>
      </c>
      <c r="F714" t="s">
        <v>19</v>
      </c>
      <c r="G714" t="s">
        <v>39</v>
      </c>
      <c r="H714" t="s">
        <v>45</v>
      </c>
      <c r="I714">
        <v>9</v>
      </c>
      <c r="J714" s="6">
        <v>972.32</v>
      </c>
      <c r="K714" s="6">
        <v>8750.8799999999992</v>
      </c>
      <c r="L714" t="s">
        <v>22</v>
      </c>
      <c r="M714" t="s">
        <v>22</v>
      </c>
      <c r="N714" s="3">
        <v>46203</v>
      </c>
      <c r="O714" s="6">
        <v>8750.8799999999992</v>
      </c>
    </row>
    <row r="715" spans="1:15" x14ac:dyDescent="0.3">
      <c r="A715" t="s">
        <v>763</v>
      </c>
      <c r="B715" s="3">
        <v>45921</v>
      </c>
      <c r="C715" t="s">
        <v>713</v>
      </c>
      <c r="D715" t="s">
        <v>24</v>
      </c>
      <c r="E715" t="s">
        <v>25</v>
      </c>
      <c r="F715" t="s">
        <v>19</v>
      </c>
      <c r="G715" t="s">
        <v>39</v>
      </c>
      <c r="H715" t="s">
        <v>21</v>
      </c>
      <c r="I715">
        <v>9</v>
      </c>
      <c r="J715" s="6">
        <v>907.84</v>
      </c>
      <c r="K715" s="6">
        <v>8170.56</v>
      </c>
      <c r="L715" t="s">
        <v>22</v>
      </c>
      <c r="M715" t="s">
        <v>22</v>
      </c>
      <c r="N715" s="3">
        <v>46203</v>
      </c>
      <c r="O715" s="6">
        <v>8170.56</v>
      </c>
    </row>
    <row r="716" spans="1:15" x14ac:dyDescent="0.3">
      <c r="A716" t="s">
        <v>764</v>
      </c>
      <c r="B716" s="3">
        <v>45921</v>
      </c>
      <c r="C716" t="s">
        <v>713</v>
      </c>
      <c r="D716" t="s">
        <v>24</v>
      </c>
      <c r="E716" t="s">
        <v>18</v>
      </c>
      <c r="F716" t="s">
        <v>19</v>
      </c>
      <c r="G716" t="s">
        <v>39</v>
      </c>
      <c r="H716" t="s">
        <v>21</v>
      </c>
      <c r="I716">
        <v>8</v>
      </c>
      <c r="J716" s="6">
        <v>896.4</v>
      </c>
      <c r="K716" s="6">
        <v>7171.2</v>
      </c>
      <c r="L716" t="s">
        <v>30</v>
      </c>
      <c r="M716" t="s">
        <v>31</v>
      </c>
      <c r="N716" s="3">
        <v>46156</v>
      </c>
      <c r="O716" s="6">
        <v>7171.2</v>
      </c>
    </row>
    <row r="717" spans="1:15" x14ac:dyDescent="0.3">
      <c r="A717" t="s">
        <v>765</v>
      </c>
      <c r="B717" s="3">
        <v>45921</v>
      </c>
      <c r="C717" t="s">
        <v>713</v>
      </c>
      <c r="D717" t="s">
        <v>49</v>
      </c>
      <c r="E717" t="s">
        <v>28</v>
      </c>
      <c r="F717" t="s">
        <v>29</v>
      </c>
      <c r="G717" t="s">
        <v>20</v>
      </c>
      <c r="H717" t="s">
        <v>21</v>
      </c>
      <c r="I717">
        <v>9</v>
      </c>
      <c r="J717" s="6">
        <v>528.98</v>
      </c>
      <c r="K717" s="6">
        <v>4760.82</v>
      </c>
      <c r="L717" t="s">
        <v>22</v>
      </c>
      <c r="M717" t="s">
        <v>22</v>
      </c>
      <c r="N717" s="3">
        <v>46203</v>
      </c>
      <c r="O717" s="6">
        <v>4760.82</v>
      </c>
    </row>
    <row r="718" spans="1:15" x14ac:dyDescent="0.3">
      <c r="A718" t="s">
        <v>766</v>
      </c>
      <c r="B718" s="3">
        <v>45922</v>
      </c>
      <c r="C718" t="s">
        <v>713</v>
      </c>
      <c r="D718" t="s">
        <v>24</v>
      </c>
      <c r="E718" t="s">
        <v>28</v>
      </c>
      <c r="F718" t="s">
        <v>33</v>
      </c>
      <c r="G718" t="s">
        <v>39</v>
      </c>
      <c r="H718" t="s">
        <v>21</v>
      </c>
      <c r="I718">
        <v>6</v>
      </c>
      <c r="J718" s="6">
        <v>987.21</v>
      </c>
      <c r="K718" s="6">
        <v>5923.26</v>
      </c>
      <c r="L718" t="s">
        <v>30</v>
      </c>
      <c r="M718" t="s">
        <v>80</v>
      </c>
      <c r="N718" s="3">
        <v>46103</v>
      </c>
      <c r="O718" s="6">
        <v>5923.26</v>
      </c>
    </row>
    <row r="719" spans="1:15" x14ac:dyDescent="0.3">
      <c r="A719" t="s">
        <v>767</v>
      </c>
      <c r="B719" s="3">
        <v>45922</v>
      </c>
      <c r="C719" t="s">
        <v>713</v>
      </c>
      <c r="D719" t="s">
        <v>24</v>
      </c>
      <c r="E719" t="s">
        <v>28</v>
      </c>
      <c r="F719" t="s">
        <v>38</v>
      </c>
      <c r="G719" t="s">
        <v>39</v>
      </c>
      <c r="H719" t="s">
        <v>21</v>
      </c>
      <c r="I719">
        <v>9</v>
      </c>
      <c r="J719" s="6">
        <v>811.7</v>
      </c>
      <c r="K719" s="6">
        <v>7305.3</v>
      </c>
      <c r="L719" t="s">
        <v>22</v>
      </c>
      <c r="M719" t="s">
        <v>22</v>
      </c>
      <c r="N719" s="3">
        <v>46203</v>
      </c>
      <c r="O719" s="6">
        <v>7305.3</v>
      </c>
    </row>
    <row r="720" spans="1:15" x14ac:dyDescent="0.3">
      <c r="A720" t="s">
        <v>768</v>
      </c>
      <c r="B720" s="3">
        <v>45922</v>
      </c>
      <c r="C720" t="s">
        <v>713</v>
      </c>
      <c r="D720" t="s">
        <v>24</v>
      </c>
      <c r="E720" t="s">
        <v>18</v>
      </c>
      <c r="F720" t="s">
        <v>51</v>
      </c>
      <c r="G720" t="s">
        <v>20</v>
      </c>
      <c r="H720" t="s">
        <v>40</v>
      </c>
      <c r="I720">
        <v>9</v>
      </c>
      <c r="J720" s="6">
        <v>815.7</v>
      </c>
      <c r="K720" s="6">
        <v>7341.3</v>
      </c>
      <c r="L720" t="s">
        <v>22</v>
      </c>
      <c r="M720" t="s">
        <v>22</v>
      </c>
      <c r="N720" s="3">
        <v>46203</v>
      </c>
      <c r="O720" s="6">
        <v>7341.3</v>
      </c>
    </row>
    <row r="721" spans="1:15" x14ac:dyDescent="0.3">
      <c r="A721" t="s">
        <v>769</v>
      </c>
      <c r="B721" s="3">
        <v>45923</v>
      </c>
      <c r="C721" t="s">
        <v>713</v>
      </c>
      <c r="D721" t="s">
        <v>24</v>
      </c>
      <c r="E721" t="s">
        <v>50</v>
      </c>
      <c r="F721" t="s">
        <v>38</v>
      </c>
      <c r="G721" t="s">
        <v>39</v>
      </c>
      <c r="H721" t="s">
        <v>45</v>
      </c>
      <c r="I721">
        <v>9</v>
      </c>
      <c r="J721" s="6">
        <v>877.78</v>
      </c>
      <c r="K721" s="6">
        <v>7900.02</v>
      </c>
      <c r="L721" t="s">
        <v>22</v>
      </c>
      <c r="M721" t="s">
        <v>22</v>
      </c>
      <c r="N721" s="3">
        <v>46203</v>
      </c>
      <c r="O721" s="6">
        <v>7900.02</v>
      </c>
    </row>
    <row r="722" spans="1:15" x14ac:dyDescent="0.3">
      <c r="A722" t="s">
        <v>770</v>
      </c>
      <c r="B722" s="3">
        <v>45923</v>
      </c>
      <c r="C722" t="s">
        <v>713</v>
      </c>
      <c r="D722" t="s">
        <v>24</v>
      </c>
      <c r="E722" t="s">
        <v>28</v>
      </c>
      <c r="F722" t="s">
        <v>19</v>
      </c>
      <c r="G722" t="s">
        <v>39</v>
      </c>
      <c r="H722" t="s">
        <v>40</v>
      </c>
      <c r="I722">
        <v>4</v>
      </c>
      <c r="J722" s="6">
        <v>845.4</v>
      </c>
      <c r="K722" s="6">
        <v>3381.6</v>
      </c>
      <c r="L722" t="s">
        <v>30</v>
      </c>
      <c r="M722" t="s">
        <v>36</v>
      </c>
      <c r="N722" s="3">
        <v>46054</v>
      </c>
      <c r="O722" s="6">
        <v>3381.6</v>
      </c>
    </row>
    <row r="723" spans="1:15" x14ac:dyDescent="0.3">
      <c r="A723" t="s">
        <v>771</v>
      </c>
      <c r="B723" s="3">
        <v>45924</v>
      </c>
      <c r="C723" t="s">
        <v>713</v>
      </c>
      <c r="D723" t="s">
        <v>49</v>
      </c>
      <c r="E723" t="s">
        <v>25</v>
      </c>
      <c r="F723" t="s">
        <v>51</v>
      </c>
      <c r="G723" t="s">
        <v>39</v>
      </c>
      <c r="H723" t="s">
        <v>21</v>
      </c>
      <c r="I723">
        <v>9</v>
      </c>
      <c r="J723" s="6">
        <v>491.09</v>
      </c>
      <c r="K723" s="6">
        <v>4419.8100000000004</v>
      </c>
      <c r="L723" t="s">
        <v>22</v>
      </c>
      <c r="M723" t="s">
        <v>22</v>
      </c>
      <c r="N723" s="3">
        <v>46203</v>
      </c>
      <c r="O723" s="6">
        <v>4419.8100000000004</v>
      </c>
    </row>
    <row r="724" spans="1:15" x14ac:dyDescent="0.3">
      <c r="A724" t="s">
        <v>772</v>
      </c>
      <c r="B724" s="3">
        <v>45924</v>
      </c>
      <c r="C724" t="s">
        <v>713</v>
      </c>
      <c r="D724" t="s">
        <v>17</v>
      </c>
      <c r="E724" t="s">
        <v>28</v>
      </c>
      <c r="F724" t="s">
        <v>33</v>
      </c>
      <c r="G724" t="s">
        <v>39</v>
      </c>
      <c r="H724" t="s">
        <v>21</v>
      </c>
      <c r="I724">
        <v>3</v>
      </c>
      <c r="J724" s="6">
        <v>1422.65</v>
      </c>
      <c r="K724" s="6">
        <v>4267.95</v>
      </c>
      <c r="L724" t="s">
        <v>30</v>
      </c>
      <c r="M724" t="s">
        <v>80</v>
      </c>
      <c r="N724" s="3">
        <v>46027</v>
      </c>
      <c r="O724" s="6">
        <v>4267.95</v>
      </c>
    </row>
    <row r="725" spans="1:15" x14ac:dyDescent="0.3">
      <c r="A725" t="s">
        <v>773</v>
      </c>
      <c r="B725" s="3">
        <v>45924</v>
      </c>
      <c r="C725" t="s">
        <v>713</v>
      </c>
      <c r="D725" t="s">
        <v>17</v>
      </c>
      <c r="E725" t="s">
        <v>18</v>
      </c>
      <c r="F725" t="s">
        <v>29</v>
      </c>
      <c r="G725" t="s">
        <v>39</v>
      </c>
      <c r="H725" t="s">
        <v>21</v>
      </c>
      <c r="I725">
        <v>9</v>
      </c>
      <c r="J725" s="6">
        <v>1439.11</v>
      </c>
      <c r="K725" s="6">
        <v>12951.99</v>
      </c>
      <c r="L725" t="s">
        <v>22</v>
      </c>
      <c r="M725" t="s">
        <v>22</v>
      </c>
      <c r="N725" s="3">
        <v>46203</v>
      </c>
      <c r="O725" s="6">
        <v>12951.99</v>
      </c>
    </row>
    <row r="726" spans="1:15" x14ac:dyDescent="0.3">
      <c r="A726" t="s">
        <v>774</v>
      </c>
      <c r="B726" s="3">
        <v>45924</v>
      </c>
      <c r="C726" t="s">
        <v>713</v>
      </c>
      <c r="D726" t="s">
        <v>49</v>
      </c>
      <c r="E726" t="s">
        <v>25</v>
      </c>
      <c r="F726" t="s">
        <v>29</v>
      </c>
      <c r="G726" t="s">
        <v>26</v>
      </c>
      <c r="H726" t="s">
        <v>34</v>
      </c>
      <c r="I726">
        <v>9</v>
      </c>
      <c r="J726" s="6">
        <v>539.71</v>
      </c>
      <c r="K726" s="6">
        <v>4857.3900000000003</v>
      </c>
      <c r="L726" t="s">
        <v>22</v>
      </c>
      <c r="M726" t="s">
        <v>22</v>
      </c>
      <c r="N726" s="3">
        <v>46203</v>
      </c>
      <c r="O726" s="6">
        <v>4857.3900000000003</v>
      </c>
    </row>
    <row r="727" spans="1:15" x14ac:dyDescent="0.3">
      <c r="A727" t="s">
        <v>775</v>
      </c>
      <c r="B727" s="3">
        <v>45926</v>
      </c>
      <c r="C727" t="s">
        <v>713</v>
      </c>
      <c r="D727" t="s">
        <v>49</v>
      </c>
      <c r="E727" t="s">
        <v>28</v>
      </c>
      <c r="F727" t="s">
        <v>33</v>
      </c>
      <c r="G727" t="s">
        <v>26</v>
      </c>
      <c r="H727" t="s">
        <v>45</v>
      </c>
      <c r="I727">
        <v>5</v>
      </c>
      <c r="J727" s="6">
        <v>495.81</v>
      </c>
      <c r="K727" s="6">
        <v>2479.0500000000002</v>
      </c>
      <c r="L727" t="s">
        <v>30</v>
      </c>
      <c r="M727" t="s">
        <v>43</v>
      </c>
      <c r="N727" s="3">
        <v>46066</v>
      </c>
      <c r="O727" s="6">
        <v>2479.0500000000002</v>
      </c>
    </row>
    <row r="728" spans="1:15" x14ac:dyDescent="0.3">
      <c r="A728" t="s">
        <v>776</v>
      </c>
      <c r="B728" s="3">
        <v>45926</v>
      </c>
      <c r="C728" t="s">
        <v>713</v>
      </c>
      <c r="D728" t="s">
        <v>24</v>
      </c>
      <c r="E728" t="s">
        <v>25</v>
      </c>
      <c r="F728" t="s">
        <v>29</v>
      </c>
      <c r="G728" t="s">
        <v>39</v>
      </c>
      <c r="H728" t="s">
        <v>21</v>
      </c>
      <c r="I728">
        <v>1</v>
      </c>
      <c r="J728" s="6">
        <v>918.31</v>
      </c>
      <c r="K728" s="6">
        <v>918.31</v>
      </c>
      <c r="L728" t="s">
        <v>30</v>
      </c>
      <c r="M728" t="s">
        <v>41</v>
      </c>
      <c r="N728" s="3">
        <v>45957</v>
      </c>
      <c r="O728" s="6">
        <v>918.31</v>
      </c>
    </row>
    <row r="729" spans="1:15" x14ac:dyDescent="0.3">
      <c r="A729" t="s">
        <v>777</v>
      </c>
      <c r="B729" s="3">
        <v>45926</v>
      </c>
      <c r="C729" t="s">
        <v>713</v>
      </c>
      <c r="D729" t="s">
        <v>49</v>
      </c>
      <c r="E729" t="s">
        <v>18</v>
      </c>
      <c r="F729" t="s">
        <v>19</v>
      </c>
      <c r="G729" t="s">
        <v>26</v>
      </c>
      <c r="H729" t="s">
        <v>34</v>
      </c>
      <c r="I729">
        <v>9</v>
      </c>
      <c r="J729" s="6">
        <v>536.66999999999996</v>
      </c>
      <c r="K729" s="6">
        <v>4830.03</v>
      </c>
      <c r="L729" t="s">
        <v>22</v>
      </c>
      <c r="M729" t="s">
        <v>22</v>
      </c>
      <c r="N729" s="3">
        <v>46203</v>
      </c>
      <c r="O729" s="6">
        <v>4830.03</v>
      </c>
    </row>
    <row r="730" spans="1:15" x14ac:dyDescent="0.3">
      <c r="A730" t="s">
        <v>778</v>
      </c>
      <c r="B730" s="3">
        <v>45926</v>
      </c>
      <c r="C730" t="s">
        <v>713</v>
      </c>
      <c r="D730" t="s">
        <v>17</v>
      </c>
      <c r="E730" t="s">
        <v>50</v>
      </c>
      <c r="F730" t="s">
        <v>19</v>
      </c>
      <c r="G730" t="s">
        <v>39</v>
      </c>
      <c r="H730" t="s">
        <v>40</v>
      </c>
      <c r="I730">
        <v>9</v>
      </c>
      <c r="J730" s="6">
        <v>1389.32</v>
      </c>
      <c r="K730" s="6">
        <v>12503.88</v>
      </c>
      <c r="L730" t="s">
        <v>22</v>
      </c>
      <c r="M730" t="s">
        <v>22</v>
      </c>
      <c r="N730" s="3">
        <v>46203</v>
      </c>
      <c r="O730" s="6">
        <v>12503.88</v>
      </c>
    </row>
    <row r="731" spans="1:15" x14ac:dyDescent="0.3">
      <c r="A731" t="s">
        <v>779</v>
      </c>
      <c r="B731" s="3">
        <v>45926</v>
      </c>
      <c r="C731" t="s">
        <v>713</v>
      </c>
      <c r="D731" t="s">
        <v>24</v>
      </c>
      <c r="E731" t="s">
        <v>25</v>
      </c>
      <c r="F731" t="s">
        <v>38</v>
      </c>
      <c r="G731" t="s">
        <v>20</v>
      </c>
      <c r="H731" t="s">
        <v>40</v>
      </c>
      <c r="I731">
        <v>9</v>
      </c>
      <c r="J731" s="6">
        <v>827.82</v>
      </c>
      <c r="K731" s="6">
        <v>7450.38</v>
      </c>
      <c r="L731" t="s">
        <v>22</v>
      </c>
      <c r="M731" t="s">
        <v>22</v>
      </c>
      <c r="N731" s="3">
        <v>46203</v>
      </c>
      <c r="O731" s="6">
        <v>7450.38</v>
      </c>
    </row>
    <row r="732" spans="1:15" x14ac:dyDescent="0.3">
      <c r="A732" t="s">
        <v>780</v>
      </c>
      <c r="B732" s="3">
        <v>45926</v>
      </c>
      <c r="C732" t="s">
        <v>713</v>
      </c>
      <c r="D732" t="s">
        <v>17</v>
      </c>
      <c r="E732" t="s">
        <v>25</v>
      </c>
      <c r="F732" t="s">
        <v>29</v>
      </c>
      <c r="G732" t="s">
        <v>20</v>
      </c>
      <c r="H732" t="s">
        <v>21</v>
      </c>
      <c r="I732">
        <v>9</v>
      </c>
      <c r="J732" s="6">
        <v>1435.29</v>
      </c>
      <c r="K732" s="6">
        <v>12917.61</v>
      </c>
      <c r="L732" t="s">
        <v>22</v>
      </c>
      <c r="M732" t="s">
        <v>22</v>
      </c>
      <c r="N732" s="3">
        <v>46203</v>
      </c>
      <c r="O732" s="6">
        <v>12917.61</v>
      </c>
    </row>
    <row r="733" spans="1:15" x14ac:dyDescent="0.3">
      <c r="A733" t="s">
        <v>781</v>
      </c>
      <c r="B733" s="3">
        <v>45926</v>
      </c>
      <c r="C733" t="s">
        <v>713</v>
      </c>
      <c r="D733" t="s">
        <v>24</v>
      </c>
      <c r="E733" t="s">
        <v>25</v>
      </c>
      <c r="F733" t="s">
        <v>51</v>
      </c>
      <c r="G733" t="s">
        <v>39</v>
      </c>
      <c r="H733" t="s">
        <v>45</v>
      </c>
      <c r="I733">
        <v>9</v>
      </c>
      <c r="J733" s="6">
        <v>910.12</v>
      </c>
      <c r="K733" s="6">
        <v>8191.08</v>
      </c>
      <c r="L733" t="s">
        <v>22</v>
      </c>
      <c r="M733" t="s">
        <v>22</v>
      </c>
      <c r="N733" s="3">
        <v>46203</v>
      </c>
      <c r="O733" s="6">
        <v>8191.08</v>
      </c>
    </row>
    <row r="734" spans="1:15" x14ac:dyDescent="0.3">
      <c r="A734" t="s">
        <v>782</v>
      </c>
      <c r="B734" s="3">
        <v>45927</v>
      </c>
      <c r="C734" t="s">
        <v>713</v>
      </c>
      <c r="D734" t="s">
        <v>49</v>
      </c>
      <c r="E734" t="s">
        <v>25</v>
      </c>
      <c r="F734" t="s">
        <v>29</v>
      </c>
      <c r="G734" t="s">
        <v>26</v>
      </c>
      <c r="H734" t="s">
        <v>40</v>
      </c>
      <c r="I734">
        <v>9</v>
      </c>
      <c r="J734" s="6">
        <v>487.58</v>
      </c>
      <c r="K734" s="6">
        <v>4388.22</v>
      </c>
      <c r="L734" t="s">
        <v>22</v>
      </c>
      <c r="M734" t="s">
        <v>22</v>
      </c>
      <c r="N734" s="3">
        <v>46203</v>
      </c>
      <c r="O734" s="6">
        <v>4388.22</v>
      </c>
    </row>
    <row r="735" spans="1:15" x14ac:dyDescent="0.3">
      <c r="A735" t="s">
        <v>783</v>
      </c>
      <c r="B735" s="3">
        <v>45927</v>
      </c>
      <c r="C735" t="s">
        <v>713</v>
      </c>
      <c r="D735" t="s">
        <v>49</v>
      </c>
      <c r="E735" t="s">
        <v>25</v>
      </c>
      <c r="F735" t="s">
        <v>29</v>
      </c>
      <c r="G735" t="s">
        <v>39</v>
      </c>
      <c r="H735" t="s">
        <v>40</v>
      </c>
      <c r="I735">
        <v>9</v>
      </c>
      <c r="J735" s="6">
        <v>532.75</v>
      </c>
      <c r="K735" s="6">
        <v>4794.75</v>
      </c>
      <c r="L735" t="s">
        <v>22</v>
      </c>
      <c r="M735" t="s">
        <v>22</v>
      </c>
      <c r="N735" s="3">
        <v>46203</v>
      </c>
      <c r="O735" s="6">
        <v>4794.75</v>
      </c>
    </row>
    <row r="736" spans="1:15" x14ac:dyDescent="0.3">
      <c r="A736" t="s">
        <v>784</v>
      </c>
      <c r="B736" s="3">
        <v>45927</v>
      </c>
      <c r="C736" t="s">
        <v>713</v>
      </c>
      <c r="D736" t="s">
        <v>17</v>
      </c>
      <c r="E736" t="s">
        <v>28</v>
      </c>
      <c r="F736" t="s">
        <v>19</v>
      </c>
      <c r="G736" t="s">
        <v>39</v>
      </c>
      <c r="H736" t="s">
        <v>21</v>
      </c>
      <c r="I736">
        <v>9</v>
      </c>
      <c r="J736" s="6">
        <v>1565.71</v>
      </c>
      <c r="K736" s="6">
        <v>14091.39</v>
      </c>
      <c r="L736" t="s">
        <v>22</v>
      </c>
      <c r="M736" t="s">
        <v>22</v>
      </c>
      <c r="N736" s="3">
        <v>46203</v>
      </c>
      <c r="O736" s="6">
        <v>14091.39</v>
      </c>
    </row>
    <row r="737" spans="1:15" x14ac:dyDescent="0.3">
      <c r="A737" t="s">
        <v>785</v>
      </c>
      <c r="B737" s="3">
        <v>45927</v>
      </c>
      <c r="C737" t="s">
        <v>713</v>
      </c>
      <c r="D737" t="s">
        <v>24</v>
      </c>
      <c r="E737" t="s">
        <v>18</v>
      </c>
      <c r="F737" t="s">
        <v>51</v>
      </c>
      <c r="G737" t="s">
        <v>39</v>
      </c>
      <c r="H737" t="s">
        <v>21</v>
      </c>
      <c r="I737">
        <v>9</v>
      </c>
      <c r="J737" s="6">
        <v>960.98</v>
      </c>
      <c r="K737" s="6">
        <v>8648.82</v>
      </c>
      <c r="L737" t="s">
        <v>22</v>
      </c>
      <c r="M737" t="s">
        <v>22</v>
      </c>
      <c r="N737" s="3">
        <v>46203</v>
      </c>
      <c r="O737" s="6">
        <v>8648.82</v>
      </c>
    </row>
    <row r="738" spans="1:15" x14ac:dyDescent="0.3">
      <c r="A738" t="s">
        <v>786</v>
      </c>
      <c r="B738" s="3">
        <v>45927</v>
      </c>
      <c r="C738" t="s">
        <v>713</v>
      </c>
      <c r="D738" t="s">
        <v>24</v>
      </c>
      <c r="E738" t="s">
        <v>28</v>
      </c>
      <c r="F738" t="s">
        <v>29</v>
      </c>
      <c r="G738" t="s">
        <v>39</v>
      </c>
      <c r="H738" t="s">
        <v>40</v>
      </c>
      <c r="I738">
        <v>9</v>
      </c>
      <c r="J738" s="6">
        <v>853.65</v>
      </c>
      <c r="K738" s="6">
        <v>7682.85</v>
      </c>
      <c r="L738" t="s">
        <v>22</v>
      </c>
      <c r="M738" t="s">
        <v>22</v>
      </c>
      <c r="N738" s="3">
        <v>46203</v>
      </c>
      <c r="O738" s="6">
        <v>7682.85</v>
      </c>
    </row>
    <row r="739" spans="1:15" x14ac:dyDescent="0.3">
      <c r="A739" t="s">
        <v>787</v>
      </c>
      <c r="B739" s="3">
        <v>45927</v>
      </c>
      <c r="C739" t="s">
        <v>713</v>
      </c>
      <c r="D739" t="s">
        <v>24</v>
      </c>
      <c r="E739" t="s">
        <v>50</v>
      </c>
      <c r="F739" t="s">
        <v>33</v>
      </c>
      <c r="G739" t="s">
        <v>39</v>
      </c>
      <c r="H739" t="s">
        <v>40</v>
      </c>
      <c r="I739">
        <v>9</v>
      </c>
      <c r="J739" s="6">
        <v>926.13</v>
      </c>
      <c r="K739" s="6">
        <v>8335.17</v>
      </c>
      <c r="L739" t="s">
        <v>22</v>
      </c>
      <c r="M739" t="s">
        <v>22</v>
      </c>
      <c r="N739" s="3">
        <v>46203</v>
      </c>
      <c r="O739" s="6">
        <v>8335.17</v>
      </c>
    </row>
    <row r="740" spans="1:15" x14ac:dyDescent="0.3">
      <c r="A740" t="s">
        <v>788</v>
      </c>
      <c r="B740" s="3">
        <v>45929</v>
      </c>
      <c r="C740" t="s">
        <v>713</v>
      </c>
      <c r="D740" t="s">
        <v>49</v>
      </c>
      <c r="E740" t="s">
        <v>28</v>
      </c>
      <c r="F740" t="s">
        <v>19</v>
      </c>
      <c r="G740" t="s">
        <v>39</v>
      </c>
      <c r="H740" t="s">
        <v>21</v>
      </c>
      <c r="I740">
        <v>9</v>
      </c>
      <c r="J740" s="6">
        <v>485.41</v>
      </c>
      <c r="K740" s="6">
        <v>4368.6899999999996</v>
      </c>
      <c r="L740" t="s">
        <v>22</v>
      </c>
      <c r="M740" t="s">
        <v>22</v>
      </c>
      <c r="N740" s="3">
        <v>46203</v>
      </c>
      <c r="O740" s="6">
        <v>4368.6899999999996</v>
      </c>
    </row>
    <row r="741" spans="1:15" x14ac:dyDescent="0.3">
      <c r="A741" t="s">
        <v>789</v>
      </c>
      <c r="B741" s="3">
        <v>45929</v>
      </c>
      <c r="C741" t="s">
        <v>713</v>
      </c>
      <c r="D741" t="s">
        <v>17</v>
      </c>
      <c r="E741" t="s">
        <v>28</v>
      </c>
      <c r="F741" t="s">
        <v>51</v>
      </c>
      <c r="G741" t="s">
        <v>39</v>
      </c>
      <c r="H741" t="s">
        <v>34</v>
      </c>
      <c r="I741">
        <v>9</v>
      </c>
      <c r="J741" s="6">
        <v>1611.64</v>
      </c>
      <c r="K741" s="6">
        <v>14504.76</v>
      </c>
      <c r="L741" t="s">
        <v>22</v>
      </c>
      <c r="M741" t="s">
        <v>22</v>
      </c>
      <c r="N741" s="3">
        <v>46203</v>
      </c>
      <c r="O741" s="6">
        <v>14504.76</v>
      </c>
    </row>
    <row r="742" spans="1:15" x14ac:dyDescent="0.3">
      <c r="A742" t="s">
        <v>790</v>
      </c>
      <c r="B742" s="3">
        <v>45929</v>
      </c>
      <c r="C742" t="s">
        <v>713</v>
      </c>
      <c r="D742" t="s">
        <v>24</v>
      </c>
      <c r="E742" t="s">
        <v>28</v>
      </c>
      <c r="F742" t="s">
        <v>29</v>
      </c>
      <c r="G742" t="s">
        <v>20</v>
      </c>
      <c r="H742" t="s">
        <v>21</v>
      </c>
      <c r="I742">
        <v>9</v>
      </c>
      <c r="J742" s="6">
        <v>929.63</v>
      </c>
      <c r="K742" s="6">
        <v>8366.67</v>
      </c>
      <c r="L742" t="s">
        <v>22</v>
      </c>
      <c r="M742" t="s">
        <v>22</v>
      </c>
      <c r="N742" s="3">
        <v>46203</v>
      </c>
      <c r="O742" s="6">
        <v>8366.67</v>
      </c>
    </row>
    <row r="743" spans="1:15" x14ac:dyDescent="0.3">
      <c r="A743" t="s">
        <v>791</v>
      </c>
      <c r="B743" s="3">
        <v>45930</v>
      </c>
      <c r="C743" t="s">
        <v>713</v>
      </c>
      <c r="D743" t="s">
        <v>24</v>
      </c>
      <c r="E743" t="s">
        <v>25</v>
      </c>
      <c r="F743" t="s">
        <v>38</v>
      </c>
      <c r="G743" t="s">
        <v>39</v>
      </c>
      <c r="H743" t="s">
        <v>40</v>
      </c>
      <c r="I743">
        <v>9</v>
      </c>
      <c r="J743" s="6">
        <v>935.54</v>
      </c>
      <c r="K743" s="6">
        <v>8419.86</v>
      </c>
      <c r="L743" t="s">
        <v>22</v>
      </c>
      <c r="M743" t="s">
        <v>22</v>
      </c>
      <c r="N743" s="3">
        <v>46203</v>
      </c>
      <c r="O743" s="6">
        <v>8419.86</v>
      </c>
    </row>
    <row r="744" spans="1:15" x14ac:dyDescent="0.3">
      <c r="A744" t="s">
        <v>792</v>
      </c>
      <c r="B744" s="3">
        <v>45930</v>
      </c>
      <c r="C744" t="s">
        <v>713</v>
      </c>
      <c r="D744" t="s">
        <v>49</v>
      </c>
      <c r="E744" t="s">
        <v>25</v>
      </c>
      <c r="F744" t="s">
        <v>29</v>
      </c>
      <c r="G744" t="s">
        <v>26</v>
      </c>
      <c r="H744" t="s">
        <v>34</v>
      </c>
      <c r="I744">
        <v>9</v>
      </c>
      <c r="J744" s="6">
        <v>466.7</v>
      </c>
      <c r="K744" s="6">
        <v>4200.3</v>
      </c>
      <c r="L744" t="s">
        <v>22</v>
      </c>
      <c r="M744" t="s">
        <v>22</v>
      </c>
      <c r="N744" s="3">
        <v>46203</v>
      </c>
      <c r="O744" s="6">
        <v>4200.3</v>
      </c>
    </row>
    <row r="745" spans="1:15" x14ac:dyDescent="0.3">
      <c r="A745" t="s">
        <v>793</v>
      </c>
      <c r="B745" s="3">
        <v>45930</v>
      </c>
      <c r="C745" t="s">
        <v>713</v>
      </c>
      <c r="D745" t="s">
        <v>49</v>
      </c>
      <c r="E745" t="s">
        <v>25</v>
      </c>
      <c r="F745" t="s">
        <v>33</v>
      </c>
      <c r="G745" t="s">
        <v>39</v>
      </c>
      <c r="H745" t="s">
        <v>21</v>
      </c>
      <c r="I745">
        <v>9</v>
      </c>
      <c r="J745" s="6">
        <v>545.54999999999995</v>
      </c>
      <c r="K745" s="6">
        <v>4909.95</v>
      </c>
      <c r="L745" t="s">
        <v>22</v>
      </c>
      <c r="M745" t="s">
        <v>22</v>
      </c>
      <c r="N745" s="3">
        <v>46203</v>
      </c>
      <c r="O745" s="6">
        <v>4909.95</v>
      </c>
    </row>
    <row r="746" spans="1:15" x14ac:dyDescent="0.3">
      <c r="A746" t="s">
        <v>794</v>
      </c>
      <c r="B746" s="3">
        <v>45931</v>
      </c>
      <c r="C746" t="s">
        <v>795</v>
      </c>
      <c r="D746" t="s">
        <v>49</v>
      </c>
      <c r="E746" t="s">
        <v>28</v>
      </c>
      <c r="F746" t="s">
        <v>33</v>
      </c>
      <c r="G746" t="s">
        <v>20</v>
      </c>
      <c r="H746" t="s">
        <v>40</v>
      </c>
      <c r="I746">
        <v>9</v>
      </c>
      <c r="J746" s="6">
        <v>498.76</v>
      </c>
      <c r="K746" s="6">
        <v>4488.84</v>
      </c>
      <c r="L746" t="s">
        <v>22</v>
      </c>
      <c r="M746" t="s">
        <v>22</v>
      </c>
      <c r="N746" s="3">
        <v>46203</v>
      </c>
      <c r="O746" s="6">
        <v>4488.84</v>
      </c>
    </row>
    <row r="747" spans="1:15" x14ac:dyDescent="0.3">
      <c r="A747" t="s">
        <v>796</v>
      </c>
      <c r="B747" s="3">
        <v>45931</v>
      </c>
      <c r="C747" t="s">
        <v>795</v>
      </c>
      <c r="D747" t="s">
        <v>17</v>
      </c>
      <c r="E747" t="s">
        <v>28</v>
      </c>
      <c r="F747" t="s">
        <v>38</v>
      </c>
      <c r="G747" t="s">
        <v>39</v>
      </c>
      <c r="H747" t="s">
        <v>40</v>
      </c>
      <c r="I747">
        <v>9</v>
      </c>
      <c r="J747" s="6">
        <v>1529.32</v>
      </c>
      <c r="K747" s="6">
        <v>13763.88</v>
      </c>
      <c r="L747" t="s">
        <v>22</v>
      </c>
      <c r="M747" t="s">
        <v>22</v>
      </c>
      <c r="N747" s="3">
        <v>46203</v>
      </c>
      <c r="O747" s="6">
        <v>13763.88</v>
      </c>
    </row>
    <row r="748" spans="1:15" x14ac:dyDescent="0.3">
      <c r="A748" t="s">
        <v>797</v>
      </c>
      <c r="B748" s="3">
        <v>45931</v>
      </c>
      <c r="C748" t="s">
        <v>795</v>
      </c>
      <c r="D748" t="s">
        <v>24</v>
      </c>
      <c r="E748" t="s">
        <v>25</v>
      </c>
      <c r="F748" t="s">
        <v>29</v>
      </c>
      <c r="G748" t="s">
        <v>39</v>
      </c>
      <c r="H748" t="s">
        <v>21</v>
      </c>
      <c r="I748">
        <v>8</v>
      </c>
      <c r="J748" s="6">
        <v>854.49</v>
      </c>
      <c r="K748" s="6">
        <v>6835.92</v>
      </c>
      <c r="L748" t="s">
        <v>30</v>
      </c>
      <c r="M748" t="s">
        <v>43</v>
      </c>
      <c r="N748" s="3">
        <v>46164</v>
      </c>
      <c r="O748" s="6">
        <v>6835.92</v>
      </c>
    </row>
    <row r="749" spans="1:15" x14ac:dyDescent="0.3">
      <c r="A749" t="s">
        <v>798</v>
      </c>
      <c r="B749" s="3">
        <v>45932</v>
      </c>
      <c r="C749" t="s">
        <v>795</v>
      </c>
      <c r="D749" t="s">
        <v>24</v>
      </c>
      <c r="E749" t="s">
        <v>25</v>
      </c>
      <c r="F749" t="s">
        <v>29</v>
      </c>
      <c r="G749" t="s">
        <v>39</v>
      </c>
      <c r="H749" t="s">
        <v>34</v>
      </c>
      <c r="I749">
        <v>9</v>
      </c>
      <c r="J749" s="6">
        <v>982.32</v>
      </c>
      <c r="K749" s="6">
        <v>8840.8799999999992</v>
      </c>
      <c r="L749" t="s">
        <v>22</v>
      </c>
      <c r="M749" t="s">
        <v>22</v>
      </c>
      <c r="N749" s="3">
        <v>46203</v>
      </c>
      <c r="O749" s="6">
        <v>8840.8799999999992</v>
      </c>
    </row>
    <row r="750" spans="1:15" x14ac:dyDescent="0.3">
      <c r="A750" t="s">
        <v>799</v>
      </c>
      <c r="B750" s="3">
        <v>45934</v>
      </c>
      <c r="C750" t="s">
        <v>795</v>
      </c>
      <c r="D750" t="s">
        <v>24</v>
      </c>
      <c r="E750" t="s">
        <v>25</v>
      </c>
      <c r="F750" t="s">
        <v>29</v>
      </c>
      <c r="G750" t="s">
        <v>39</v>
      </c>
      <c r="H750" t="s">
        <v>21</v>
      </c>
      <c r="I750">
        <v>9</v>
      </c>
      <c r="J750" s="6">
        <v>907.92</v>
      </c>
      <c r="K750" s="6">
        <v>8171.28</v>
      </c>
      <c r="L750" t="s">
        <v>22</v>
      </c>
      <c r="M750" t="s">
        <v>22</v>
      </c>
      <c r="N750" s="3">
        <v>46203</v>
      </c>
      <c r="O750" s="6">
        <v>8171.28</v>
      </c>
    </row>
    <row r="751" spans="1:15" x14ac:dyDescent="0.3">
      <c r="A751" t="s">
        <v>800</v>
      </c>
      <c r="B751" s="3">
        <v>45934</v>
      </c>
      <c r="C751" t="s">
        <v>795</v>
      </c>
      <c r="D751" t="s">
        <v>24</v>
      </c>
      <c r="E751" t="s">
        <v>25</v>
      </c>
      <c r="F751" t="s">
        <v>29</v>
      </c>
      <c r="G751" t="s">
        <v>39</v>
      </c>
      <c r="H751" t="s">
        <v>21</v>
      </c>
      <c r="I751">
        <v>9</v>
      </c>
      <c r="J751" s="6">
        <v>970.14</v>
      </c>
      <c r="K751" s="6">
        <v>8731.26</v>
      </c>
      <c r="L751" t="s">
        <v>22</v>
      </c>
      <c r="M751" t="s">
        <v>22</v>
      </c>
      <c r="N751" s="3">
        <v>46203</v>
      </c>
      <c r="O751" s="6">
        <v>8731.26</v>
      </c>
    </row>
    <row r="752" spans="1:15" x14ac:dyDescent="0.3">
      <c r="A752" t="s">
        <v>801</v>
      </c>
      <c r="B752" s="3">
        <v>45934</v>
      </c>
      <c r="C752" t="s">
        <v>795</v>
      </c>
      <c r="D752" t="s">
        <v>49</v>
      </c>
      <c r="E752" t="s">
        <v>18</v>
      </c>
      <c r="F752" t="s">
        <v>29</v>
      </c>
      <c r="G752" t="s">
        <v>39</v>
      </c>
      <c r="H752" t="s">
        <v>40</v>
      </c>
      <c r="I752">
        <v>9</v>
      </c>
      <c r="J752" s="6">
        <v>467.38</v>
      </c>
      <c r="K752" s="6">
        <v>4206.42</v>
      </c>
      <c r="L752" t="s">
        <v>22</v>
      </c>
      <c r="M752" t="s">
        <v>22</v>
      </c>
      <c r="N752" s="3">
        <v>46203</v>
      </c>
      <c r="O752" s="6">
        <v>4206.42</v>
      </c>
    </row>
    <row r="753" spans="1:15" x14ac:dyDescent="0.3">
      <c r="A753" t="s">
        <v>802</v>
      </c>
      <c r="B753" s="3">
        <v>45935</v>
      </c>
      <c r="C753" t="s">
        <v>795</v>
      </c>
      <c r="D753" t="s">
        <v>49</v>
      </c>
      <c r="E753" t="s">
        <v>18</v>
      </c>
      <c r="F753" t="s">
        <v>33</v>
      </c>
      <c r="G753" t="s">
        <v>26</v>
      </c>
      <c r="H753" t="s">
        <v>21</v>
      </c>
      <c r="I753">
        <v>9</v>
      </c>
      <c r="J753" s="6">
        <v>481.75</v>
      </c>
      <c r="K753" s="6">
        <v>4335.75</v>
      </c>
      <c r="L753" t="s">
        <v>22</v>
      </c>
      <c r="M753" t="s">
        <v>22</v>
      </c>
      <c r="N753" s="3">
        <v>46203</v>
      </c>
      <c r="O753" s="6">
        <v>4335.75</v>
      </c>
    </row>
    <row r="754" spans="1:15" x14ac:dyDescent="0.3">
      <c r="A754" t="s">
        <v>803</v>
      </c>
      <c r="B754" s="3">
        <v>45935</v>
      </c>
      <c r="C754" t="s">
        <v>795</v>
      </c>
      <c r="D754" t="s">
        <v>24</v>
      </c>
      <c r="E754" t="s">
        <v>25</v>
      </c>
      <c r="F754" t="s">
        <v>19</v>
      </c>
      <c r="G754" t="s">
        <v>20</v>
      </c>
      <c r="H754" t="s">
        <v>21</v>
      </c>
      <c r="I754">
        <v>9</v>
      </c>
      <c r="J754" s="6">
        <v>860.86</v>
      </c>
      <c r="K754" s="6">
        <v>7747.74</v>
      </c>
      <c r="L754" t="s">
        <v>22</v>
      </c>
      <c r="M754" t="s">
        <v>22</v>
      </c>
      <c r="N754" s="3">
        <v>46203</v>
      </c>
      <c r="O754" s="6">
        <v>7747.74</v>
      </c>
    </row>
    <row r="755" spans="1:15" x14ac:dyDescent="0.3">
      <c r="A755" t="s">
        <v>804</v>
      </c>
      <c r="B755" s="3">
        <v>45936</v>
      </c>
      <c r="C755" t="s">
        <v>795</v>
      </c>
      <c r="D755" t="s">
        <v>24</v>
      </c>
      <c r="E755" t="s">
        <v>28</v>
      </c>
      <c r="F755" t="s">
        <v>19</v>
      </c>
      <c r="G755" t="s">
        <v>39</v>
      </c>
      <c r="H755" t="s">
        <v>45</v>
      </c>
      <c r="I755">
        <v>9</v>
      </c>
      <c r="J755" s="6">
        <v>916.74</v>
      </c>
      <c r="K755" s="6">
        <v>8250.66</v>
      </c>
      <c r="L755" t="s">
        <v>22</v>
      </c>
      <c r="M755" t="s">
        <v>22</v>
      </c>
      <c r="N755" s="3">
        <v>46203</v>
      </c>
      <c r="O755" s="6">
        <v>8250.66</v>
      </c>
    </row>
    <row r="756" spans="1:15" x14ac:dyDescent="0.3">
      <c r="A756" t="s">
        <v>805</v>
      </c>
      <c r="B756" s="3">
        <v>45936</v>
      </c>
      <c r="C756" t="s">
        <v>795</v>
      </c>
      <c r="D756" t="s">
        <v>24</v>
      </c>
      <c r="E756" t="s">
        <v>25</v>
      </c>
      <c r="F756" t="s">
        <v>51</v>
      </c>
      <c r="G756" t="s">
        <v>39</v>
      </c>
      <c r="H756" t="s">
        <v>21</v>
      </c>
      <c r="I756">
        <v>6</v>
      </c>
      <c r="J756" s="6">
        <v>971.61</v>
      </c>
      <c r="K756" s="6">
        <v>5829.66</v>
      </c>
      <c r="L756" t="s">
        <v>30</v>
      </c>
      <c r="M756" t="s">
        <v>31</v>
      </c>
      <c r="N756" s="3">
        <v>46128</v>
      </c>
      <c r="O756" s="6">
        <v>5829.66</v>
      </c>
    </row>
    <row r="757" spans="1:15" x14ac:dyDescent="0.3">
      <c r="A757" t="s">
        <v>806</v>
      </c>
      <c r="B757" s="3">
        <v>45936</v>
      </c>
      <c r="C757" t="s">
        <v>795</v>
      </c>
      <c r="D757" t="s">
        <v>49</v>
      </c>
      <c r="E757" t="s">
        <v>25</v>
      </c>
      <c r="F757" t="s">
        <v>19</v>
      </c>
      <c r="G757" t="s">
        <v>20</v>
      </c>
      <c r="H757" t="s">
        <v>21</v>
      </c>
      <c r="I757">
        <v>9</v>
      </c>
      <c r="J757" s="6">
        <v>466.79</v>
      </c>
      <c r="K757" s="6">
        <v>4201.1099999999997</v>
      </c>
      <c r="L757" t="s">
        <v>22</v>
      </c>
      <c r="M757" t="s">
        <v>22</v>
      </c>
      <c r="N757" s="3">
        <v>46203</v>
      </c>
      <c r="O757" s="6">
        <v>4201.1099999999997</v>
      </c>
    </row>
    <row r="758" spans="1:15" x14ac:dyDescent="0.3">
      <c r="A758" t="s">
        <v>807</v>
      </c>
      <c r="B758" s="3">
        <v>45937</v>
      </c>
      <c r="C758" t="s">
        <v>795</v>
      </c>
      <c r="D758" t="s">
        <v>49</v>
      </c>
      <c r="E758" t="s">
        <v>25</v>
      </c>
      <c r="F758" t="s">
        <v>33</v>
      </c>
      <c r="G758" t="s">
        <v>26</v>
      </c>
      <c r="H758" t="s">
        <v>21</v>
      </c>
      <c r="I758">
        <v>9</v>
      </c>
      <c r="J758" s="6">
        <v>494.14</v>
      </c>
      <c r="K758" s="6">
        <v>4447.26</v>
      </c>
      <c r="L758" t="s">
        <v>22</v>
      </c>
      <c r="M758" t="s">
        <v>22</v>
      </c>
      <c r="N758" s="3">
        <v>46203</v>
      </c>
      <c r="O758" s="6">
        <v>4447.26</v>
      </c>
    </row>
    <row r="759" spans="1:15" x14ac:dyDescent="0.3">
      <c r="A759" t="s">
        <v>808</v>
      </c>
      <c r="B759" s="3">
        <v>45937</v>
      </c>
      <c r="C759" t="s">
        <v>795</v>
      </c>
      <c r="D759" t="s">
        <v>49</v>
      </c>
      <c r="E759" t="s">
        <v>25</v>
      </c>
      <c r="F759" t="s">
        <v>29</v>
      </c>
      <c r="G759" t="s">
        <v>20</v>
      </c>
      <c r="H759" t="s">
        <v>21</v>
      </c>
      <c r="I759">
        <v>9</v>
      </c>
      <c r="J759" s="6">
        <v>525.82000000000005</v>
      </c>
      <c r="K759" s="6">
        <v>4732.38</v>
      </c>
      <c r="L759" t="s">
        <v>22</v>
      </c>
      <c r="M759" t="s">
        <v>22</v>
      </c>
      <c r="N759" s="3">
        <v>46203</v>
      </c>
      <c r="O759" s="6">
        <v>4732.38</v>
      </c>
    </row>
    <row r="760" spans="1:15" x14ac:dyDescent="0.3">
      <c r="A760" t="s">
        <v>809</v>
      </c>
      <c r="B760" s="3">
        <v>45937</v>
      </c>
      <c r="C760" t="s">
        <v>795</v>
      </c>
      <c r="D760" t="s">
        <v>24</v>
      </c>
      <c r="E760" t="s">
        <v>28</v>
      </c>
      <c r="F760" t="s">
        <v>29</v>
      </c>
      <c r="G760" t="s">
        <v>39</v>
      </c>
      <c r="H760" t="s">
        <v>21</v>
      </c>
      <c r="I760">
        <v>9</v>
      </c>
      <c r="J760" s="6">
        <v>943.39</v>
      </c>
      <c r="K760" s="6">
        <v>8490.51</v>
      </c>
      <c r="L760" t="s">
        <v>22</v>
      </c>
      <c r="M760" t="s">
        <v>22</v>
      </c>
      <c r="N760" s="3">
        <v>46203</v>
      </c>
      <c r="O760" s="6">
        <v>8490.51</v>
      </c>
    </row>
    <row r="761" spans="1:15" x14ac:dyDescent="0.3">
      <c r="A761" t="s">
        <v>810</v>
      </c>
      <c r="B761" s="3">
        <v>45937</v>
      </c>
      <c r="C761" t="s">
        <v>795</v>
      </c>
      <c r="D761" t="s">
        <v>49</v>
      </c>
      <c r="E761" t="s">
        <v>50</v>
      </c>
      <c r="F761" t="s">
        <v>29</v>
      </c>
      <c r="G761" t="s">
        <v>26</v>
      </c>
      <c r="H761" t="s">
        <v>45</v>
      </c>
      <c r="I761">
        <v>5</v>
      </c>
      <c r="J761" s="6">
        <v>543.91</v>
      </c>
      <c r="K761" s="6">
        <v>2719.55</v>
      </c>
      <c r="L761" t="s">
        <v>30</v>
      </c>
      <c r="M761" t="s">
        <v>36</v>
      </c>
      <c r="N761" s="3">
        <v>46074</v>
      </c>
      <c r="O761" s="6">
        <v>2719.55</v>
      </c>
    </row>
    <row r="762" spans="1:15" x14ac:dyDescent="0.3">
      <c r="A762" t="s">
        <v>811</v>
      </c>
      <c r="B762" s="3">
        <v>45938</v>
      </c>
      <c r="C762" t="s">
        <v>795</v>
      </c>
      <c r="D762" t="s">
        <v>49</v>
      </c>
      <c r="E762" t="s">
        <v>28</v>
      </c>
      <c r="F762" t="s">
        <v>51</v>
      </c>
      <c r="G762" t="s">
        <v>20</v>
      </c>
      <c r="H762" t="s">
        <v>40</v>
      </c>
      <c r="I762">
        <v>9</v>
      </c>
      <c r="J762" s="6">
        <v>490.02</v>
      </c>
      <c r="K762" s="6">
        <v>4410.18</v>
      </c>
      <c r="L762" t="s">
        <v>22</v>
      </c>
      <c r="M762" t="s">
        <v>22</v>
      </c>
      <c r="N762" s="3">
        <v>46203</v>
      </c>
      <c r="O762" s="6">
        <v>4410.18</v>
      </c>
    </row>
    <row r="763" spans="1:15" x14ac:dyDescent="0.3">
      <c r="A763" t="s">
        <v>812</v>
      </c>
      <c r="B763" s="3">
        <v>45938</v>
      </c>
      <c r="C763" t="s">
        <v>795</v>
      </c>
      <c r="D763" t="s">
        <v>49</v>
      </c>
      <c r="E763" t="s">
        <v>25</v>
      </c>
      <c r="F763" t="s">
        <v>29</v>
      </c>
      <c r="G763" t="s">
        <v>20</v>
      </c>
      <c r="H763" t="s">
        <v>40</v>
      </c>
      <c r="I763">
        <v>9</v>
      </c>
      <c r="J763" s="6">
        <v>497.95</v>
      </c>
      <c r="K763" s="6">
        <v>4481.55</v>
      </c>
      <c r="L763" t="s">
        <v>22</v>
      </c>
      <c r="M763" t="s">
        <v>22</v>
      </c>
      <c r="N763" s="3">
        <v>46203</v>
      </c>
      <c r="O763" s="6">
        <v>4481.55</v>
      </c>
    </row>
    <row r="764" spans="1:15" x14ac:dyDescent="0.3">
      <c r="A764" t="s">
        <v>813</v>
      </c>
      <c r="B764" s="3">
        <v>45939</v>
      </c>
      <c r="C764" t="s">
        <v>795</v>
      </c>
      <c r="D764" t="s">
        <v>24</v>
      </c>
      <c r="E764" t="s">
        <v>25</v>
      </c>
      <c r="F764" t="s">
        <v>38</v>
      </c>
      <c r="G764" t="s">
        <v>39</v>
      </c>
      <c r="H764" t="s">
        <v>21</v>
      </c>
      <c r="I764">
        <v>9</v>
      </c>
      <c r="J764" s="6">
        <v>919.15</v>
      </c>
      <c r="K764" s="6">
        <v>8272.35</v>
      </c>
      <c r="L764" t="s">
        <v>22</v>
      </c>
      <c r="M764" t="s">
        <v>22</v>
      </c>
      <c r="N764" s="3">
        <v>46203</v>
      </c>
      <c r="O764" s="6">
        <v>8272.35</v>
      </c>
    </row>
    <row r="765" spans="1:15" x14ac:dyDescent="0.3">
      <c r="A765" t="s">
        <v>814</v>
      </c>
      <c r="B765" s="3">
        <v>45939</v>
      </c>
      <c r="C765" t="s">
        <v>795</v>
      </c>
      <c r="D765" t="s">
        <v>49</v>
      </c>
      <c r="E765" t="s">
        <v>50</v>
      </c>
      <c r="F765" t="s">
        <v>19</v>
      </c>
      <c r="G765" t="s">
        <v>26</v>
      </c>
      <c r="H765" t="s">
        <v>45</v>
      </c>
      <c r="I765">
        <v>9</v>
      </c>
      <c r="J765" s="6">
        <v>461.98</v>
      </c>
      <c r="K765" s="6">
        <v>4157.82</v>
      </c>
      <c r="L765" t="s">
        <v>22</v>
      </c>
      <c r="M765" t="s">
        <v>22</v>
      </c>
      <c r="N765" s="3">
        <v>46203</v>
      </c>
      <c r="O765" s="6">
        <v>4157.82</v>
      </c>
    </row>
    <row r="766" spans="1:15" x14ac:dyDescent="0.3">
      <c r="A766" t="s">
        <v>815</v>
      </c>
      <c r="B766" s="3">
        <v>45939</v>
      </c>
      <c r="C766" t="s">
        <v>795</v>
      </c>
      <c r="D766" t="s">
        <v>49</v>
      </c>
      <c r="E766" t="s">
        <v>18</v>
      </c>
      <c r="F766" t="s">
        <v>33</v>
      </c>
      <c r="G766" t="s">
        <v>39</v>
      </c>
      <c r="H766" t="s">
        <v>40</v>
      </c>
      <c r="I766">
        <v>9</v>
      </c>
      <c r="J766" s="6">
        <v>468.58</v>
      </c>
      <c r="K766" s="6">
        <v>4217.22</v>
      </c>
      <c r="L766" t="s">
        <v>22</v>
      </c>
      <c r="M766" t="s">
        <v>22</v>
      </c>
      <c r="N766" s="3">
        <v>46203</v>
      </c>
      <c r="O766" s="6">
        <v>4217.22</v>
      </c>
    </row>
    <row r="767" spans="1:15" x14ac:dyDescent="0.3">
      <c r="A767" t="s">
        <v>816</v>
      </c>
      <c r="B767" s="3">
        <v>45939</v>
      </c>
      <c r="C767" t="s">
        <v>795</v>
      </c>
      <c r="D767" t="s">
        <v>17</v>
      </c>
      <c r="E767" t="s">
        <v>18</v>
      </c>
      <c r="F767" t="s">
        <v>29</v>
      </c>
      <c r="G767" t="s">
        <v>39</v>
      </c>
      <c r="H767" t="s">
        <v>21</v>
      </c>
      <c r="I767">
        <v>9</v>
      </c>
      <c r="J767" s="6">
        <v>1457.53</v>
      </c>
      <c r="K767" s="6">
        <v>13117.77</v>
      </c>
      <c r="L767" t="s">
        <v>22</v>
      </c>
      <c r="M767" t="s">
        <v>22</v>
      </c>
      <c r="N767" s="3">
        <v>46203</v>
      </c>
      <c r="O767" s="6">
        <v>13117.77</v>
      </c>
    </row>
    <row r="768" spans="1:15" x14ac:dyDescent="0.3">
      <c r="A768" t="s">
        <v>817</v>
      </c>
      <c r="B768" s="3">
        <v>45939</v>
      </c>
      <c r="C768" t="s">
        <v>795</v>
      </c>
      <c r="D768" t="s">
        <v>17</v>
      </c>
      <c r="E768" t="s">
        <v>18</v>
      </c>
      <c r="F768" t="s">
        <v>19</v>
      </c>
      <c r="G768" t="s">
        <v>39</v>
      </c>
      <c r="H768" t="s">
        <v>21</v>
      </c>
      <c r="I768">
        <v>9</v>
      </c>
      <c r="J768" s="6">
        <v>1354.5</v>
      </c>
      <c r="K768" s="6">
        <v>12190.5</v>
      </c>
      <c r="L768" t="s">
        <v>22</v>
      </c>
      <c r="M768" t="s">
        <v>22</v>
      </c>
      <c r="N768" s="3">
        <v>46203</v>
      </c>
      <c r="O768" s="6">
        <v>12190.5</v>
      </c>
    </row>
    <row r="769" spans="1:15" x14ac:dyDescent="0.3">
      <c r="A769" t="s">
        <v>818</v>
      </c>
      <c r="B769" s="3">
        <v>45940</v>
      </c>
      <c r="C769" t="s">
        <v>795</v>
      </c>
      <c r="D769" t="s">
        <v>24</v>
      </c>
      <c r="E769" t="s">
        <v>50</v>
      </c>
      <c r="F769" t="s">
        <v>33</v>
      </c>
      <c r="G769" t="s">
        <v>20</v>
      </c>
      <c r="H769" t="s">
        <v>21</v>
      </c>
      <c r="I769">
        <v>9</v>
      </c>
      <c r="J769" s="6">
        <v>849.67</v>
      </c>
      <c r="K769" s="6">
        <v>7647.03</v>
      </c>
      <c r="L769" t="s">
        <v>22</v>
      </c>
      <c r="M769" t="s">
        <v>22</v>
      </c>
      <c r="N769" s="3">
        <v>46203</v>
      </c>
      <c r="O769" s="6">
        <v>7647.03</v>
      </c>
    </row>
    <row r="770" spans="1:15" x14ac:dyDescent="0.3">
      <c r="A770" t="s">
        <v>819</v>
      </c>
      <c r="B770" s="3">
        <v>45940</v>
      </c>
      <c r="C770" t="s">
        <v>795</v>
      </c>
      <c r="D770" t="s">
        <v>17</v>
      </c>
      <c r="E770" t="s">
        <v>50</v>
      </c>
      <c r="F770" t="s">
        <v>19</v>
      </c>
      <c r="G770" t="s">
        <v>39</v>
      </c>
      <c r="H770" t="s">
        <v>40</v>
      </c>
      <c r="I770">
        <v>9</v>
      </c>
      <c r="J770" s="6">
        <v>1501.05</v>
      </c>
      <c r="K770" s="6">
        <v>13509.45</v>
      </c>
      <c r="L770" t="s">
        <v>22</v>
      </c>
      <c r="M770" t="s">
        <v>22</v>
      </c>
      <c r="N770" s="3">
        <v>46203</v>
      </c>
      <c r="O770" s="6">
        <v>13509.45</v>
      </c>
    </row>
    <row r="771" spans="1:15" x14ac:dyDescent="0.3">
      <c r="A771" t="s">
        <v>820</v>
      </c>
      <c r="B771" s="3">
        <v>45941</v>
      </c>
      <c r="C771" t="s">
        <v>795</v>
      </c>
      <c r="D771" t="s">
        <v>17</v>
      </c>
      <c r="E771" t="s">
        <v>18</v>
      </c>
      <c r="F771" t="s">
        <v>29</v>
      </c>
      <c r="G771" t="s">
        <v>39</v>
      </c>
      <c r="H771" t="s">
        <v>34</v>
      </c>
      <c r="I771">
        <v>9</v>
      </c>
      <c r="J771" s="6">
        <v>1462.74</v>
      </c>
      <c r="K771" s="6">
        <v>13164.66</v>
      </c>
      <c r="L771" t="s">
        <v>22</v>
      </c>
      <c r="M771" t="s">
        <v>22</v>
      </c>
      <c r="N771" s="3">
        <v>46203</v>
      </c>
      <c r="O771" s="6">
        <v>13164.66</v>
      </c>
    </row>
    <row r="772" spans="1:15" x14ac:dyDescent="0.3">
      <c r="A772" t="s">
        <v>821</v>
      </c>
      <c r="B772" s="3">
        <v>45941</v>
      </c>
      <c r="C772" t="s">
        <v>795</v>
      </c>
      <c r="D772" t="s">
        <v>49</v>
      </c>
      <c r="E772" t="s">
        <v>25</v>
      </c>
      <c r="F772" t="s">
        <v>51</v>
      </c>
      <c r="G772" t="s">
        <v>20</v>
      </c>
      <c r="H772" t="s">
        <v>21</v>
      </c>
      <c r="I772">
        <v>9</v>
      </c>
      <c r="J772" s="6">
        <v>451.83</v>
      </c>
      <c r="K772" s="6">
        <v>4066.47</v>
      </c>
      <c r="L772" t="s">
        <v>22</v>
      </c>
      <c r="M772" t="s">
        <v>22</v>
      </c>
      <c r="N772" s="3">
        <v>46203</v>
      </c>
      <c r="O772" s="6">
        <v>4066.47</v>
      </c>
    </row>
    <row r="773" spans="1:15" x14ac:dyDescent="0.3">
      <c r="A773" t="s">
        <v>822</v>
      </c>
      <c r="B773" s="3">
        <v>45941</v>
      </c>
      <c r="C773" t="s">
        <v>795</v>
      </c>
      <c r="D773" t="s">
        <v>49</v>
      </c>
      <c r="E773" t="s">
        <v>25</v>
      </c>
      <c r="F773" t="s">
        <v>29</v>
      </c>
      <c r="G773" t="s">
        <v>39</v>
      </c>
      <c r="H773" t="s">
        <v>21</v>
      </c>
      <c r="I773">
        <v>9</v>
      </c>
      <c r="J773" s="6">
        <v>518.15</v>
      </c>
      <c r="K773" s="6">
        <v>4663.3500000000004</v>
      </c>
      <c r="L773" t="s">
        <v>22</v>
      </c>
      <c r="M773" t="s">
        <v>22</v>
      </c>
      <c r="N773" s="3">
        <v>46203</v>
      </c>
      <c r="O773" s="6">
        <v>4663.3500000000004</v>
      </c>
    </row>
    <row r="774" spans="1:15" x14ac:dyDescent="0.3">
      <c r="A774" t="s">
        <v>823</v>
      </c>
      <c r="B774" s="3">
        <v>45942</v>
      </c>
      <c r="C774" t="s">
        <v>795</v>
      </c>
      <c r="D774" t="s">
        <v>24</v>
      </c>
      <c r="E774" t="s">
        <v>18</v>
      </c>
      <c r="F774" t="s">
        <v>38</v>
      </c>
      <c r="G774" t="s">
        <v>39</v>
      </c>
      <c r="H774" t="s">
        <v>21</v>
      </c>
      <c r="I774">
        <v>9</v>
      </c>
      <c r="J774" s="6">
        <v>936.92</v>
      </c>
      <c r="K774" s="6">
        <v>8432.2800000000007</v>
      </c>
      <c r="L774" t="s">
        <v>22</v>
      </c>
      <c r="M774" t="s">
        <v>22</v>
      </c>
      <c r="N774" s="3">
        <v>46203</v>
      </c>
      <c r="O774" s="6">
        <v>8432.2800000000007</v>
      </c>
    </row>
    <row r="775" spans="1:15" x14ac:dyDescent="0.3">
      <c r="A775" t="s">
        <v>824</v>
      </c>
      <c r="B775" s="3">
        <v>45942</v>
      </c>
      <c r="C775" t="s">
        <v>795</v>
      </c>
      <c r="D775" t="s">
        <v>17</v>
      </c>
      <c r="E775" t="s">
        <v>50</v>
      </c>
      <c r="F775" t="s">
        <v>19</v>
      </c>
      <c r="G775" t="s">
        <v>39</v>
      </c>
      <c r="H775" t="s">
        <v>34</v>
      </c>
      <c r="I775">
        <v>9</v>
      </c>
      <c r="J775" s="6">
        <v>1366.36</v>
      </c>
      <c r="K775" s="6">
        <v>12297.24</v>
      </c>
      <c r="L775" t="s">
        <v>22</v>
      </c>
      <c r="M775" t="s">
        <v>22</v>
      </c>
      <c r="N775" s="3">
        <v>46203</v>
      </c>
      <c r="O775" s="6">
        <v>12297.24</v>
      </c>
    </row>
    <row r="776" spans="1:15" x14ac:dyDescent="0.3">
      <c r="A776" t="s">
        <v>825</v>
      </c>
      <c r="B776" s="3">
        <v>45942</v>
      </c>
      <c r="C776" t="s">
        <v>795</v>
      </c>
      <c r="D776" t="s">
        <v>24</v>
      </c>
      <c r="E776" t="s">
        <v>25</v>
      </c>
      <c r="F776" t="s">
        <v>19</v>
      </c>
      <c r="G776" t="s">
        <v>20</v>
      </c>
      <c r="H776" t="s">
        <v>21</v>
      </c>
      <c r="I776">
        <v>7</v>
      </c>
      <c r="J776" s="6">
        <v>919.87</v>
      </c>
      <c r="K776" s="6">
        <v>6439.09</v>
      </c>
      <c r="L776" t="s">
        <v>30</v>
      </c>
      <c r="M776" t="s">
        <v>43</v>
      </c>
      <c r="N776" s="3">
        <v>46168</v>
      </c>
      <c r="O776" s="6">
        <v>6439.09</v>
      </c>
    </row>
    <row r="777" spans="1:15" x14ac:dyDescent="0.3">
      <c r="A777" t="s">
        <v>826</v>
      </c>
      <c r="B777" s="3">
        <v>45942</v>
      </c>
      <c r="C777" t="s">
        <v>795</v>
      </c>
      <c r="D777" t="s">
        <v>49</v>
      </c>
      <c r="E777" t="s">
        <v>25</v>
      </c>
      <c r="F777" t="s">
        <v>29</v>
      </c>
      <c r="G777" t="s">
        <v>20</v>
      </c>
      <c r="H777" t="s">
        <v>21</v>
      </c>
      <c r="I777">
        <v>9</v>
      </c>
      <c r="J777" s="6">
        <v>468.84</v>
      </c>
      <c r="K777" s="6">
        <v>4219.5600000000004</v>
      </c>
      <c r="L777" t="s">
        <v>22</v>
      </c>
      <c r="M777" t="s">
        <v>22</v>
      </c>
      <c r="N777" s="3">
        <v>46203</v>
      </c>
      <c r="O777" s="6">
        <v>4219.5600000000004</v>
      </c>
    </row>
    <row r="778" spans="1:15" x14ac:dyDescent="0.3">
      <c r="A778" t="s">
        <v>827</v>
      </c>
      <c r="B778" s="3">
        <v>45942</v>
      </c>
      <c r="C778" t="s">
        <v>795</v>
      </c>
      <c r="D778" t="s">
        <v>24</v>
      </c>
      <c r="E778" t="s">
        <v>25</v>
      </c>
      <c r="F778" t="s">
        <v>29</v>
      </c>
      <c r="G778" t="s">
        <v>20</v>
      </c>
      <c r="H778" t="s">
        <v>21</v>
      </c>
      <c r="I778">
        <v>9</v>
      </c>
      <c r="J778" s="6">
        <v>890.87</v>
      </c>
      <c r="K778" s="6">
        <v>8017.83</v>
      </c>
      <c r="L778" t="s">
        <v>22</v>
      </c>
      <c r="M778" t="s">
        <v>22</v>
      </c>
      <c r="N778" s="3">
        <v>46203</v>
      </c>
      <c r="O778" s="6">
        <v>8017.83</v>
      </c>
    </row>
    <row r="779" spans="1:15" x14ac:dyDescent="0.3">
      <c r="A779" t="s">
        <v>828</v>
      </c>
      <c r="B779" s="3">
        <v>45942</v>
      </c>
      <c r="C779" t="s">
        <v>795</v>
      </c>
      <c r="D779" t="s">
        <v>17</v>
      </c>
      <c r="E779" t="s">
        <v>28</v>
      </c>
      <c r="F779" t="s">
        <v>29</v>
      </c>
      <c r="G779" t="s">
        <v>20</v>
      </c>
      <c r="H779" t="s">
        <v>40</v>
      </c>
      <c r="I779">
        <v>9</v>
      </c>
      <c r="J779" s="6">
        <v>1510.25</v>
      </c>
      <c r="K779" s="6">
        <v>13592.25</v>
      </c>
      <c r="L779" t="s">
        <v>22</v>
      </c>
      <c r="M779" t="s">
        <v>22</v>
      </c>
      <c r="N779" s="3">
        <v>46203</v>
      </c>
      <c r="O779" s="6">
        <v>13592.25</v>
      </c>
    </row>
    <row r="780" spans="1:15" x14ac:dyDescent="0.3">
      <c r="A780" t="s">
        <v>829</v>
      </c>
      <c r="B780" s="3">
        <v>45942</v>
      </c>
      <c r="C780" t="s">
        <v>795</v>
      </c>
      <c r="D780" t="s">
        <v>17</v>
      </c>
      <c r="E780" t="s">
        <v>25</v>
      </c>
      <c r="F780" t="s">
        <v>29</v>
      </c>
      <c r="G780" t="s">
        <v>39</v>
      </c>
      <c r="H780" t="s">
        <v>21</v>
      </c>
      <c r="I780">
        <v>7</v>
      </c>
      <c r="J780" s="6">
        <v>1600.44</v>
      </c>
      <c r="K780" s="6">
        <v>11203.08</v>
      </c>
      <c r="L780" t="s">
        <v>30</v>
      </c>
      <c r="M780" t="s">
        <v>31</v>
      </c>
      <c r="N780" s="3">
        <v>46142</v>
      </c>
      <c r="O780" s="6">
        <v>11203.08</v>
      </c>
    </row>
    <row r="781" spans="1:15" x14ac:dyDescent="0.3">
      <c r="A781" t="s">
        <v>830</v>
      </c>
      <c r="B781" s="3">
        <v>45943</v>
      </c>
      <c r="C781" t="s">
        <v>795</v>
      </c>
      <c r="D781" t="s">
        <v>17</v>
      </c>
      <c r="E781" t="s">
        <v>25</v>
      </c>
      <c r="F781" t="s">
        <v>33</v>
      </c>
      <c r="G781" t="s">
        <v>39</v>
      </c>
      <c r="H781" t="s">
        <v>40</v>
      </c>
      <c r="I781">
        <v>9</v>
      </c>
      <c r="J781" s="6">
        <v>1375.74</v>
      </c>
      <c r="K781" s="6">
        <v>12381.66</v>
      </c>
      <c r="L781" t="s">
        <v>22</v>
      </c>
      <c r="M781" t="s">
        <v>22</v>
      </c>
      <c r="N781" s="3">
        <v>46203</v>
      </c>
      <c r="O781" s="6">
        <v>12381.66</v>
      </c>
    </row>
    <row r="782" spans="1:15" x14ac:dyDescent="0.3">
      <c r="A782" t="s">
        <v>831</v>
      </c>
      <c r="B782" s="3">
        <v>45943</v>
      </c>
      <c r="C782" t="s">
        <v>795</v>
      </c>
      <c r="D782" t="s">
        <v>24</v>
      </c>
      <c r="E782" t="s">
        <v>50</v>
      </c>
      <c r="F782" t="s">
        <v>29</v>
      </c>
      <c r="G782" t="s">
        <v>39</v>
      </c>
      <c r="H782" t="s">
        <v>40</v>
      </c>
      <c r="I782">
        <v>9</v>
      </c>
      <c r="J782" s="6">
        <v>918.95</v>
      </c>
      <c r="K782" s="6">
        <v>8270.5499999999993</v>
      </c>
      <c r="L782" t="s">
        <v>22</v>
      </c>
      <c r="M782" t="s">
        <v>22</v>
      </c>
      <c r="N782" s="3">
        <v>46203</v>
      </c>
      <c r="O782" s="6">
        <v>8270.5499999999993</v>
      </c>
    </row>
    <row r="783" spans="1:15" x14ac:dyDescent="0.3">
      <c r="A783" t="s">
        <v>832</v>
      </c>
      <c r="B783" s="3">
        <v>45943</v>
      </c>
      <c r="C783" t="s">
        <v>795</v>
      </c>
      <c r="D783" t="s">
        <v>49</v>
      </c>
      <c r="E783" t="s">
        <v>28</v>
      </c>
      <c r="F783" t="s">
        <v>19</v>
      </c>
      <c r="G783" t="s">
        <v>39</v>
      </c>
      <c r="H783" t="s">
        <v>21</v>
      </c>
      <c r="I783">
        <v>9</v>
      </c>
      <c r="J783" s="6">
        <v>503.89</v>
      </c>
      <c r="K783" s="6">
        <v>4535.01</v>
      </c>
      <c r="L783" t="s">
        <v>22</v>
      </c>
      <c r="M783" t="s">
        <v>22</v>
      </c>
      <c r="N783" s="3">
        <v>46203</v>
      </c>
      <c r="O783" s="6">
        <v>4535.01</v>
      </c>
    </row>
    <row r="784" spans="1:15" x14ac:dyDescent="0.3">
      <c r="A784" t="s">
        <v>833</v>
      </c>
      <c r="B784" s="3">
        <v>45943</v>
      </c>
      <c r="C784" t="s">
        <v>795</v>
      </c>
      <c r="D784" t="s">
        <v>49</v>
      </c>
      <c r="E784" t="s">
        <v>18</v>
      </c>
      <c r="F784" t="s">
        <v>51</v>
      </c>
      <c r="G784" t="s">
        <v>39</v>
      </c>
      <c r="H784" t="s">
        <v>34</v>
      </c>
      <c r="I784">
        <v>9</v>
      </c>
      <c r="J784" s="6">
        <v>477.21</v>
      </c>
      <c r="K784" s="6">
        <v>4294.8900000000003</v>
      </c>
      <c r="L784" t="s">
        <v>22</v>
      </c>
      <c r="M784" t="s">
        <v>22</v>
      </c>
      <c r="N784" s="3">
        <v>46203</v>
      </c>
      <c r="O784" s="6">
        <v>4294.8900000000003</v>
      </c>
    </row>
    <row r="785" spans="1:15" x14ac:dyDescent="0.3">
      <c r="A785" t="s">
        <v>834</v>
      </c>
      <c r="B785" s="3">
        <v>45944</v>
      </c>
      <c r="C785" t="s">
        <v>795</v>
      </c>
      <c r="D785" t="s">
        <v>49</v>
      </c>
      <c r="E785" t="s">
        <v>50</v>
      </c>
      <c r="F785" t="s">
        <v>33</v>
      </c>
      <c r="G785" t="s">
        <v>39</v>
      </c>
      <c r="H785" t="s">
        <v>40</v>
      </c>
      <c r="I785">
        <v>9</v>
      </c>
      <c r="J785" s="6">
        <v>499.97</v>
      </c>
      <c r="K785" s="6">
        <v>4499.7299999999996</v>
      </c>
      <c r="L785" t="s">
        <v>22</v>
      </c>
      <c r="M785" t="s">
        <v>22</v>
      </c>
      <c r="N785" s="3">
        <v>46203</v>
      </c>
      <c r="O785" s="6">
        <v>4499.7299999999996</v>
      </c>
    </row>
    <row r="786" spans="1:15" x14ac:dyDescent="0.3">
      <c r="A786" t="s">
        <v>835</v>
      </c>
      <c r="B786" s="3">
        <v>45944</v>
      </c>
      <c r="C786" t="s">
        <v>795</v>
      </c>
      <c r="D786" t="s">
        <v>24</v>
      </c>
      <c r="E786" t="s">
        <v>25</v>
      </c>
      <c r="F786" t="s">
        <v>19</v>
      </c>
      <c r="G786" t="s">
        <v>20</v>
      </c>
      <c r="H786" t="s">
        <v>34</v>
      </c>
      <c r="I786">
        <v>9</v>
      </c>
      <c r="J786" s="6">
        <v>856.06</v>
      </c>
      <c r="K786" s="6">
        <v>7704.54</v>
      </c>
      <c r="L786" t="s">
        <v>22</v>
      </c>
      <c r="M786" t="s">
        <v>22</v>
      </c>
      <c r="N786" s="3">
        <v>46203</v>
      </c>
      <c r="O786" s="6">
        <v>7704.54</v>
      </c>
    </row>
    <row r="787" spans="1:15" x14ac:dyDescent="0.3">
      <c r="A787" t="s">
        <v>836</v>
      </c>
      <c r="B787" s="3">
        <v>45944</v>
      </c>
      <c r="C787" t="s">
        <v>795</v>
      </c>
      <c r="D787" t="s">
        <v>24</v>
      </c>
      <c r="E787" t="s">
        <v>25</v>
      </c>
      <c r="F787" t="s">
        <v>29</v>
      </c>
      <c r="G787" t="s">
        <v>39</v>
      </c>
      <c r="H787" t="s">
        <v>21</v>
      </c>
      <c r="I787">
        <v>9</v>
      </c>
      <c r="J787" s="6">
        <v>943.36</v>
      </c>
      <c r="K787" s="6">
        <v>8490.24</v>
      </c>
      <c r="L787" t="s">
        <v>22</v>
      </c>
      <c r="M787" t="s">
        <v>22</v>
      </c>
      <c r="N787" s="3">
        <v>46203</v>
      </c>
      <c r="O787" s="6">
        <v>8490.24</v>
      </c>
    </row>
    <row r="788" spans="1:15" x14ac:dyDescent="0.3">
      <c r="A788" t="s">
        <v>837</v>
      </c>
      <c r="B788" s="3">
        <v>45944</v>
      </c>
      <c r="C788" t="s">
        <v>795</v>
      </c>
      <c r="D788" t="s">
        <v>49</v>
      </c>
      <c r="E788" t="s">
        <v>28</v>
      </c>
      <c r="F788" t="s">
        <v>51</v>
      </c>
      <c r="G788" t="s">
        <v>39</v>
      </c>
      <c r="H788" t="s">
        <v>45</v>
      </c>
      <c r="I788">
        <v>9</v>
      </c>
      <c r="J788" s="6">
        <v>515.70000000000005</v>
      </c>
      <c r="K788" s="6">
        <v>4641.3</v>
      </c>
      <c r="L788" t="s">
        <v>22</v>
      </c>
      <c r="M788" t="s">
        <v>22</v>
      </c>
      <c r="N788" s="3">
        <v>46203</v>
      </c>
      <c r="O788" s="6">
        <v>4641.3</v>
      </c>
    </row>
    <row r="789" spans="1:15" x14ac:dyDescent="0.3">
      <c r="A789" t="s">
        <v>838</v>
      </c>
      <c r="B789" s="3">
        <v>45944</v>
      </c>
      <c r="C789" t="s">
        <v>795</v>
      </c>
      <c r="D789" t="s">
        <v>24</v>
      </c>
      <c r="E789" t="s">
        <v>28</v>
      </c>
      <c r="F789" t="s">
        <v>38</v>
      </c>
      <c r="G789" t="s">
        <v>39</v>
      </c>
      <c r="H789" t="s">
        <v>45</v>
      </c>
      <c r="I789">
        <v>9</v>
      </c>
      <c r="J789" s="6">
        <v>845.58</v>
      </c>
      <c r="K789" s="6">
        <v>7610.22</v>
      </c>
      <c r="L789" t="s">
        <v>22</v>
      </c>
      <c r="M789" t="s">
        <v>22</v>
      </c>
      <c r="N789" s="3">
        <v>46203</v>
      </c>
      <c r="O789" s="6">
        <v>7610.22</v>
      </c>
    </row>
    <row r="790" spans="1:15" x14ac:dyDescent="0.3">
      <c r="A790" t="s">
        <v>839</v>
      </c>
      <c r="B790" s="3">
        <v>45944</v>
      </c>
      <c r="C790" t="s">
        <v>795</v>
      </c>
      <c r="D790" t="s">
        <v>49</v>
      </c>
      <c r="E790" t="s">
        <v>25</v>
      </c>
      <c r="F790" t="s">
        <v>38</v>
      </c>
      <c r="G790" t="s">
        <v>20</v>
      </c>
      <c r="H790" t="s">
        <v>21</v>
      </c>
      <c r="I790">
        <v>9</v>
      </c>
      <c r="J790" s="6">
        <v>547.01</v>
      </c>
      <c r="K790" s="6">
        <v>4923.09</v>
      </c>
      <c r="L790" t="s">
        <v>22</v>
      </c>
      <c r="M790" t="s">
        <v>22</v>
      </c>
      <c r="N790" s="3">
        <v>46203</v>
      </c>
      <c r="O790" s="6">
        <v>4923.09</v>
      </c>
    </row>
    <row r="791" spans="1:15" x14ac:dyDescent="0.3">
      <c r="A791" t="s">
        <v>840</v>
      </c>
      <c r="B791" s="3">
        <v>45944</v>
      </c>
      <c r="C791" t="s">
        <v>795</v>
      </c>
      <c r="D791" t="s">
        <v>24</v>
      </c>
      <c r="E791" t="s">
        <v>25</v>
      </c>
      <c r="F791" t="s">
        <v>38</v>
      </c>
      <c r="G791" t="s">
        <v>39</v>
      </c>
      <c r="H791" t="s">
        <v>21</v>
      </c>
      <c r="I791">
        <v>5</v>
      </c>
      <c r="J791" s="6">
        <v>848.84</v>
      </c>
      <c r="K791" s="6">
        <v>4244.2</v>
      </c>
      <c r="L791" t="s">
        <v>30</v>
      </c>
      <c r="M791" t="s">
        <v>41</v>
      </c>
      <c r="N791" s="3">
        <v>46101</v>
      </c>
      <c r="O791" s="6">
        <v>4244.2</v>
      </c>
    </row>
    <row r="792" spans="1:15" x14ac:dyDescent="0.3">
      <c r="A792" t="s">
        <v>841</v>
      </c>
      <c r="B792" s="3">
        <v>45945</v>
      </c>
      <c r="C792" t="s">
        <v>795</v>
      </c>
      <c r="D792" t="s">
        <v>17</v>
      </c>
      <c r="E792" t="s">
        <v>50</v>
      </c>
      <c r="F792" t="s">
        <v>29</v>
      </c>
      <c r="G792" t="s">
        <v>26</v>
      </c>
      <c r="H792" t="s">
        <v>40</v>
      </c>
      <c r="I792">
        <v>8</v>
      </c>
      <c r="J792" s="6">
        <v>1643.81</v>
      </c>
      <c r="K792" s="6">
        <v>13150.48</v>
      </c>
      <c r="L792" t="s">
        <v>22</v>
      </c>
      <c r="M792" t="s">
        <v>22</v>
      </c>
      <c r="N792" s="3">
        <v>46203</v>
      </c>
      <c r="O792" s="6">
        <v>13150.48</v>
      </c>
    </row>
    <row r="793" spans="1:15" x14ac:dyDescent="0.3">
      <c r="A793" t="s">
        <v>842</v>
      </c>
      <c r="B793" s="3">
        <v>45945</v>
      </c>
      <c r="C793" t="s">
        <v>795</v>
      </c>
      <c r="D793" t="s">
        <v>24</v>
      </c>
      <c r="E793" t="s">
        <v>28</v>
      </c>
      <c r="F793" t="s">
        <v>19</v>
      </c>
      <c r="G793" t="s">
        <v>39</v>
      </c>
      <c r="H793" t="s">
        <v>45</v>
      </c>
      <c r="I793">
        <v>8</v>
      </c>
      <c r="J793" s="6">
        <v>983.26</v>
      </c>
      <c r="K793" s="6">
        <v>7866.08</v>
      </c>
      <c r="L793" t="s">
        <v>22</v>
      </c>
      <c r="M793" t="s">
        <v>22</v>
      </c>
      <c r="N793" s="3">
        <v>46203</v>
      </c>
      <c r="O793" s="6">
        <v>7866.08</v>
      </c>
    </row>
    <row r="794" spans="1:15" x14ac:dyDescent="0.3">
      <c r="A794" t="s">
        <v>843</v>
      </c>
      <c r="B794" s="3">
        <v>45945</v>
      </c>
      <c r="C794" t="s">
        <v>795</v>
      </c>
      <c r="D794" t="s">
        <v>24</v>
      </c>
      <c r="E794" t="s">
        <v>28</v>
      </c>
      <c r="F794" t="s">
        <v>19</v>
      </c>
      <c r="G794" t="s">
        <v>39</v>
      </c>
      <c r="H794" t="s">
        <v>34</v>
      </c>
      <c r="I794">
        <v>3</v>
      </c>
      <c r="J794" s="6">
        <v>987.3</v>
      </c>
      <c r="K794" s="6">
        <v>2961.9</v>
      </c>
      <c r="L794" t="s">
        <v>30</v>
      </c>
      <c r="M794" t="s">
        <v>36</v>
      </c>
      <c r="N794" s="3">
        <v>46039</v>
      </c>
      <c r="O794" s="6">
        <v>2961.9</v>
      </c>
    </row>
    <row r="795" spans="1:15" x14ac:dyDescent="0.3">
      <c r="A795" t="s">
        <v>844</v>
      </c>
      <c r="B795" s="3">
        <v>45945</v>
      </c>
      <c r="C795" t="s">
        <v>795</v>
      </c>
      <c r="D795" t="s">
        <v>24</v>
      </c>
      <c r="E795" t="s">
        <v>25</v>
      </c>
      <c r="F795" t="s">
        <v>33</v>
      </c>
      <c r="G795" t="s">
        <v>39</v>
      </c>
      <c r="H795" t="s">
        <v>21</v>
      </c>
      <c r="I795">
        <v>3</v>
      </c>
      <c r="J795" s="6">
        <v>909.17</v>
      </c>
      <c r="K795" s="6">
        <v>2727.51</v>
      </c>
      <c r="L795" t="s">
        <v>30</v>
      </c>
      <c r="M795" t="s">
        <v>36</v>
      </c>
      <c r="N795" s="3">
        <v>46037</v>
      </c>
      <c r="O795" s="6">
        <v>2727.51</v>
      </c>
    </row>
    <row r="796" spans="1:15" x14ac:dyDescent="0.3">
      <c r="A796" t="s">
        <v>845</v>
      </c>
      <c r="B796" s="3">
        <v>45947</v>
      </c>
      <c r="C796" t="s">
        <v>795</v>
      </c>
      <c r="D796" t="s">
        <v>49</v>
      </c>
      <c r="E796" t="s">
        <v>18</v>
      </c>
      <c r="F796" t="s">
        <v>38</v>
      </c>
      <c r="G796" t="s">
        <v>20</v>
      </c>
      <c r="H796" t="s">
        <v>21</v>
      </c>
      <c r="I796">
        <v>8</v>
      </c>
      <c r="J796" s="6">
        <v>467.38</v>
      </c>
      <c r="K796" s="6">
        <v>3739.04</v>
      </c>
      <c r="L796" t="s">
        <v>22</v>
      </c>
      <c r="M796" t="s">
        <v>22</v>
      </c>
      <c r="N796" s="3">
        <v>46203</v>
      </c>
      <c r="O796" s="6">
        <v>3739.04</v>
      </c>
    </row>
    <row r="797" spans="1:15" x14ac:dyDescent="0.3">
      <c r="A797" t="s">
        <v>846</v>
      </c>
      <c r="B797" s="3">
        <v>45947</v>
      </c>
      <c r="C797" t="s">
        <v>795</v>
      </c>
      <c r="D797" t="s">
        <v>24</v>
      </c>
      <c r="E797" t="s">
        <v>25</v>
      </c>
      <c r="F797" t="s">
        <v>29</v>
      </c>
      <c r="G797" t="s">
        <v>39</v>
      </c>
      <c r="H797" t="s">
        <v>40</v>
      </c>
      <c r="I797">
        <v>8</v>
      </c>
      <c r="J797" s="6">
        <v>954.41</v>
      </c>
      <c r="K797" s="6">
        <v>7635.28</v>
      </c>
      <c r="L797" t="s">
        <v>22</v>
      </c>
      <c r="M797" t="s">
        <v>22</v>
      </c>
      <c r="N797" s="3">
        <v>46203</v>
      </c>
      <c r="O797" s="6">
        <v>7635.28</v>
      </c>
    </row>
    <row r="798" spans="1:15" x14ac:dyDescent="0.3">
      <c r="A798" t="s">
        <v>847</v>
      </c>
      <c r="B798" s="3">
        <v>45947</v>
      </c>
      <c r="C798" t="s">
        <v>795</v>
      </c>
      <c r="D798" t="s">
        <v>24</v>
      </c>
      <c r="E798" t="s">
        <v>25</v>
      </c>
      <c r="F798" t="s">
        <v>19</v>
      </c>
      <c r="G798" t="s">
        <v>26</v>
      </c>
      <c r="H798" t="s">
        <v>40</v>
      </c>
      <c r="I798">
        <v>5</v>
      </c>
      <c r="J798" s="6">
        <v>823.49</v>
      </c>
      <c r="K798" s="6">
        <v>4117.45</v>
      </c>
      <c r="L798" t="s">
        <v>30</v>
      </c>
      <c r="M798" t="s">
        <v>41</v>
      </c>
      <c r="N798" s="3">
        <v>46093</v>
      </c>
      <c r="O798" s="6">
        <v>4117.45</v>
      </c>
    </row>
    <row r="799" spans="1:15" x14ac:dyDescent="0.3">
      <c r="A799" t="s">
        <v>848</v>
      </c>
      <c r="B799" s="3">
        <v>45948</v>
      </c>
      <c r="C799" t="s">
        <v>795</v>
      </c>
      <c r="D799" t="s">
        <v>24</v>
      </c>
      <c r="E799" t="s">
        <v>28</v>
      </c>
      <c r="F799" t="s">
        <v>33</v>
      </c>
      <c r="G799" t="s">
        <v>20</v>
      </c>
      <c r="H799" t="s">
        <v>40</v>
      </c>
      <c r="I799">
        <v>8</v>
      </c>
      <c r="J799" s="6">
        <v>839.13</v>
      </c>
      <c r="K799" s="6">
        <v>6713.04</v>
      </c>
      <c r="L799" t="s">
        <v>22</v>
      </c>
      <c r="M799" t="s">
        <v>22</v>
      </c>
      <c r="N799" s="3">
        <v>46203</v>
      </c>
      <c r="O799" s="6">
        <v>6713.04</v>
      </c>
    </row>
    <row r="800" spans="1:15" x14ac:dyDescent="0.3">
      <c r="A800" t="s">
        <v>849</v>
      </c>
      <c r="B800" s="3">
        <v>45948</v>
      </c>
      <c r="C800" t="s">
        <v>795</v>
      </c>
      <c r="D800" t="s">
        <v>49</v>
      </c>
      <c r="E800" t="s">
        <v>50</v>
      </c>
      <c r="F800" t="s">
        <v>19</v>
      </c>
      <c r="G800" t="s">
        <v>39</v>
      </c>
      <c r="H800" t="s">
        <v>40</v>
      </c>
      <c r="I800">
        <v>8</v>
      </c>
      <c r="J800" s="6">
        <v>460.4</v>
      </c>
      <c r="K800" s="6">
        <v>3683.2</v>
      </c>
      <c r="L800" t="s">
        <v>22</v>
      </c>
      <c r="M800" t="s">
        <v>22</v>
      </c>
      <c r="N800" s="3">
        <v>46203</v>
      </c>
      <c r="O800" s="6">
        <v>3683.2</v>
      </c>
    </row>
    <row r="801" spans="1:15" x14ac:dyDescent="0.3">
      <c r="A801" t="s">
        <v>850</v>
      </c>
      <c r="B801" s="3">
        <v>45948</v>
      </c>
      <c r="C801" t="s">
        <v>795</v>
      </c>
      <c r="D801" t="s">
        <v>24</v>
      </c>
      <c r="E801" t="s">
        <v>28</v>
      </c>
      <c r="F801" t="s">
        <v>33</v>
      </c>
      <c r="G801" t="s">
        <v>20</v>
      </c>
      <c r="H801" t="s">
        <v>34</v>
      </c>
      <c r="I801">
        <v>8</v>
      </c>
      <c r="J801" s="6">
        <v>833.57</v>
      </c>
      <c r="K801" s="6">
        <v>6668.56</v>
      </c>
      <c r="L801" t="s">
        <v>22</v>
      </c>
      <c r="M801" t="s">
        <v>22</v>
      </c>
      <c r="N801" s="3">
        <v>46203</v>
      </c>
      <c r="O801" s="6">
        <v>6668.56</v>
      </c>
    </row>
    <row r="802" spans="1:15" x14ac:dyDescent="0.3">
      <c r="A802" t="s">
        <v>851</v>
      </c>
      <c r="B802" s="3">
        <v>45948</v>
      </c>
      <c r="C802" t="s">
        <v>795</v>
      </c>
      <c r="D802" t="s">
        <v>49</v>
      </c>
      <c r="E802" t="s">
        <v>28</v>
      </c>
      <c r="F802" t="s">
        <v>33</v>
      </c>
      <c r="G802" t="s">
        <v>20</v>
      </c>
      <c r="H802" t="s">
        <v>21</v>
      </c>
      <c r="I802">
        <v>8</v>
      </c>
      <c r="J802" s="6">
        <v>463.87</v>
      </c>
      <c r="K802" s="6">
        <v>3710.96</v>
      </c>
      <c r="L802" t="s">
        <v>22</v>
      </c>
      <c r="M802" t="s">
        <v>22</v>
      </c>
      <c r="N802" s="3">
        <v>46203</v>
      </c>
      <c r="O802" s="6">
        <v>3710.96</v>
      </c>
    </row>
    <row r="803" spans="1:15" x14ac:dyDescent="0.3">
      <c r="A803" t="s">
        <v>852</v>
      </c>
      <c r="B803" s="3">
        <v>45948</v>
      </c>
      <c r="C803" t="s">
        <v>795</v>
      </c>
      <c r="D803" t="s">
        <v>17</v>
      </c>
      <c r="E803" t="s">
        <v>25</v>
      </c>
      <c r="F803" t="s">
        <v>33</v>
      </c>
      <c r="G803" t="s">
        <v>26</v>
      </c>
      <c r="H803" t="s">
        <v>34</v>
      </c>
      <c r="I803">
        <v>8</v>
      </c>
      <c r="J803" s="6">
        <v>1513.41</v>
      </c>
      <c r="K803" s="6">
        <v>12107.28</v>
      </c>
      <c r="L803" t="s">
        <v>22</v>
      </c>
      <c r="M803" t="s">
        <v>22</v>
      </c>
      <c r="N803" s="3">
        <v>46203</v>
      </c>
      <c r="O803" s="6">
        <v>12107.28</v>
      </c>
    </row>
    <row r="804" spans="1:15" x14ac:dyDescent="0.3">
      <c r="A804" t="s">
        <v>853</v>
      </c>
      <c r="B804" s="3">
        <v>45948</v>
      </c>
      <c r="C804" t="s">
        <v>795</v>
      </c>
      <c r="D804" t="s">
        <v>24</v>
      </c>
      <c r="E804" t="s">
        <v>25</v>
      </c>
      <c r="F804" t="s">
        <v>19</v>
      </c>
      <c r="G804" t="s">
        <v>39</v>
      </c>
      <c r="H804" t="s">
        <v>21</v>
      </c>
      <c r="I804">
        <v>8</v>
      </c>
      <c r="J804" s="6">
        <v>869.61</v>
      </c>
      <c r="K804" s="6">
        <v>6956.88</v>
      </c>
      <c r="L804" t="s">
        <v>22</v>
      </c>
      <c r="M804" t="s">
        <v>22</v>
      </c>
      <c r="N804" s="3">
        <v>46203</v>
      </c>
      <c r="O804" s="6">
        <v>6956.88</v>
      </c>
    </row>
    <row r="805" spans="1:15" x14ac:dyDescent="0.3">
      <c r="A805" t="s">
        <v>854</v>
      </c>
      <c r="B805" s="3">
        <v>45949</v>
      </c>
      <c r="C805" t="s">
        <v>795</v>
      </c>
      <c r="D805" t="s">
        <v>24</v>
      </c>
      <c r="E805" t="s">
        <v>25</v>
      </c>
      <c r="F805" t="s">
        <v>38</v>
      </c>
      <c r="G805" t="s">
        <v>39</v>
      </c>
      <c r="H805" t="s">
        <v>40</v>
      </c>
      <c r="I805">
        <v>5</v>
      </c>
      <c r="J805" s="6">
        <v>837.04</v>
      </c>
      <c r="K805" s="6">
        <v>4185.2</v>
      </c>
      <c r="L805" t="s">
        <v>30</v>
      </c>
      <c r="M805" t="s">
        <v>43</v>
      </c>
      <c r="N805" s="3">
        <v>46093</v>
      </c>
      <c r="O805" s="6">
        <v>4185.2</v>
      </c>
    </row>
    <row r="806" spans="1:15" x14ac:dyDescent="0.3">
      <c r="A806" t="s">
        <v>855</v>
      </c>
      <c r="B806" s="3">
        <v>45950</v>
      </c>
      <c r="C806" t="s">
        <v>795</v>
      </c>
      <c r="D806" t="s">
        <v>49</v>
      </c>
      <c r="E806" t="s">
        <v>25</v>
      </c>
      <c r="F806" t="s">
        <v>19</v>
      </c>
      <c r="G806" t="s">
        <v>20</v>
      </c>
      <c r="H806" t="s">
        <v>34</v>
      </c>
      <c r="I806">
        <v>8</v>
      </c>
      <c r="J806" s="6">
        <v>496.21</v>
      </c>
      <c r="K806" s="6">
        <v>3969.68</v>
      </c>
      <c r="L806" t="s">
        <v>22</v>
      </c>
      <c r="M806" t="s">
        <v>22</v>
      </c>
      <c r="N806" s="3">
        <v>46203</v>
      </c>
      <c r="O806" s="6">
        <v>3969.68</v>
      </c>
    </row>
    <row r="807" spans="1:15" x14ac:dyDescent="0.3">
      <c r="A807" t="s">
        <v>856</v>
      </c>
      <c r="B807" s="3">
        <v>45950</v>
      </c>
      <c r="C807" t="s">
        <v>795</v>
      </c>
      <c r="D807" t="s">
        <v>17</v>
      </c>
      <c r="E807" t="s">
        <v>25</v>
      </c>
      <c r="F807" t="s">
        <v>33</v>
      </c>
      <c r="G807" t="s">
        <v>20</v>
      </c>
      <c r="H807" t="s">
        <v>45</v>
      </c>
      <c r="I807">
        <v>8</v>
      </c>
      <c r="J807" s="6">
        <v>1567.36</v>
      </c>
      <c r="K807" s="6">
        <v>12538.88</v>
      </c>
      <c r="L807" t="s">
        <v>22</v>
      </c>
      <c r="M807" t="s">
        <v>22</v>
      </c>
      <c r="N807" s="3">
        <v>46203</v>
      </c>
      <c r="O807" s="6">
        <v>12538.88</v>
      </c>
    </row>
    <row r="808" spans="1:15" x14ac:dyDescent="0.3">
      <c r="A808" t="s">
        <v>857</v>
      </c>
      <c r="B808" s="3">
        <v>45950</v>
      </c>
      <c r="C808" t="s">
        <v>795</v>
      </c>
      <c r="D808" t="s">
        <v>24</v>
      </c>
      <c r="E808" t="s">
        <v>25</v>
      </c>
      <c r="F808" t="s">
        <v>33</v>
      </c>
      <c r="G808" t="s">
        <v>39</v>
      </c>
      <c r="H808" t="s">
        <v>40</v>
      </c>
      <c r="I808">
        <v>8</v>
      </c>
      <c r="J808" s="6">
        <v>876.44</v>
      </c>
      <c r="K808" s="6">
        <v>7011.52</v>
      </c>
      <c r="L808" t="s">
        <v>22</v>
      </c>
      <c r="M808" t="s">
        <v>22</v>
      </c>
      <c r="N808" s="3">
        <v>46203</v>
      </c>
      <c r="O808" s="6">
        <v>7011.52</v>
      </c>
    </row>
    <row r="809" spans="1:15" x14ac:dyDescent="0.3">
      <c r="A809" t="s">
        <v>858</v>
      </c>
      <c r="B809" s="3">
        <v>45950</v>
      </c>
      <c r="C809" t="s">
        <v>795</v>
      </c>
      <c r="D809" t="s">
        <v>17</v>
      </c>
      <c r="E809" t="s">
        <v>50</v>
      </c>
      <c r="F809" t="s">
        <v>33</v>
      </c>
      <c r="G809" t="s">
        <v>39</v>
      </c>
      <c r="H809" t="s">
        <v>34</v>
      </c>
      <c r="I809">
        <v>5</v>
      </c>
      <c r="J809" s="6">
        <v>1624.7</v>
      </c>
      <c r="K809" s="6">
        <v>8123.5</v>
      </c>
      <c r="L809" t="s">
        <v>30</v>
      </c>
      <c r="M809" t="s">
        <v>43</v>
      </c>
      <c r="N809" s="3">
        <v>46101</v>
      </c>
      <c r="O809" s="6">
        <v>8123.5</v>
      </c>
    </row>
    <row r="810" spans="1:15" x14ac:dyDescent="0.3">
      <c r="A810" t="s">
        <v>859</v>
      </c>
      <c r="B810" s="3">
        <v>45950</v>
      </c>
      <c r="C810" t="s">
        <v>795</v>
      </c>
      <c r="D810" t="s">
        <v>49</v>
      </c>
      <c r="E810" t="s">
        <v>25</v>
      </c>
      <c r="F810" t="s">
        <v>38</v>
      </c>
      <c r="G810" t="s">
        <v>39</v>
      </c>
      <c r="H810" t="s">
        <v>21</v>
      </c>
      <c r="I810">
        <v>8</v>
      </c>
      <c r="J810" s="6">
        <v>455.72</v>
      </c>
      <c r="K810" s="6">
        <v>3645.76</v>
      </c>
      <c r="L810" t="s">
        <v>22</v>
      </c>
      <c r="M810" t="s">
        <v>22</v>
      </c>
      <c r="N810" s="3">
        <v>46203</v>
      </c>
      <c r="O810" s="6">
        <v>3645.76</v>
      </c>
    </row>
    <row r="811" spans="1:15" x14ac:dyDescent="0.3">
      <c r="A811" t="s">
        <v>860</v>
      </c>
      <c r="B811" s="3">
        <v>45951</v>
      </c>
      <c r="C811" t="s">
        <v>795</v>
      </c>
      <c r="D811" t="s">
        <v>24</v>
      </c>
      <c r="E811" t="s">
        <v>50</v>
      </c>
      <c r="F811" t="s">
        <v>38</v>
      </c>
      <c r="G811" t="s">
        <v>26</v>
      </c>
      <c r="H811" t="s">
        <v>21</v>
      </c>
      <c r="I811">
        <v>8</v>
      </c>
      <c r="J811" s="6">
        <v>886.75</v>
      </c>
      <c r="K811" s="6">
        <v>7094</v>
      </c>
      <c r="L811" t="s">
        <v>22</v>
      </c>
      <c r="M811" t="s">
        <v>22</v>
      </c>
      <c r="N811" s="3">
        <v>46203</v>
      </c>
      <c r="O811" s="6">
        <v>7094</v>
      </c>
    </row>
    <row r="812" spans="1:15" x14ac:dyDescent="0.3">
      <c r="A812" t="s">
        <v>861</v>
      </c>
      <c r="B812" s="3">
        <v>45951</v>
      </c>
      <c r="C812" t="s">
        <v>795</v>
      </c>
      <c r="D812" t="s">
        <v>17</v>
      </c>
      <c r="E812" t="s">
        <v>18</v>
      </c>
      <c r="F812" t="s">
        <v>29</v>
      </c>
      <c r="G812" t="s">
        <v>39</v>
      </c>
      <c r="H812" t="s">
        <v>45</v>
      </c>
      <c r="I812">
        <v>8</v>
      </c>
      <c r="J812" s="6">
        <v>1618.11</v>
      </c>
      <c r="K812" s="6">
        <v>12944.88</v>
      </c>
      <c r="L812" t="s">
        <v>22</v>
      </c>
      <c r="M812" t="s">
        <v>22</v>
      </c>
      <c r="N812" s="3">
        <v>46203</v>
      </c>
      <c r="O812" s="6">
        <v>12944.88</v>
      </c>
    </row>
    <row r="813" spans="1:15" x14ac:dyDescent="0.3">
      <c r="A813" t="s">
        <v>862</v>
      </c>
      <c r="B813" s="3">
        <v>45951</v>
      </c>
      <c r="C813" t="s">
        <v>795</v>
      </c>
      <c r="D813" t="s">
        <v>24</v>
      </c>
      <c r="E813" t="s">
        <v>25</v>
      </c>
      <c r="F813" t="s">
        <v>51</v>
      </c>
      <c r="G813" t="s">
        <v>39</v>
      </c>
      <c r="H813" t="s">
        <v>40</v>
      </c>
      <c r="I813">
        <v>8</v>
      </c>
      <c r="J813" s="6">
        <v>951.35</v>
      </c>
      <c r="K813" s="6">
        <v>7610.8</v>
      </c>
      <c r="L813" t="s">
        <v>22</v>
      </c>
      <c r="M813" t="s">
        <v>22</v>
      </c>
      <c r="N813" s="3">
        <v>46203</v>
      </c>
      <c r="O813" s="6">
        <v>7610.8</v>
      </c>
    </row>
    <row r="814" spans="1:15" x14ac:dyDescent="0.3">
      <c r="A814" t="s">
        <v>863</v>
      </c>
      <c r="B814" s="3">
        <v>45951</v>
      </c>
      <c r="C814" t="s">
        <v>795</v>
      </c>
      <c r="D814" t="s">
        <v>49</v>
      </c>
      <c r="E814" t="s">
        <v>18</v>
      </c>
      <c r="F814" t="s">
        <v>33</v>
      </c>
      <c r="G814" t="s">
        <v>39</v>
      </c>
      <c r="H814" t="s">
        <v>21</v>
      </c>
      <c r="I814">
        <v>8</v>
      </c>
      <c r="J814" s="6">
        <v>477.35</v>
      </c>
      <c r="K814" s="6">
        <v>3818.8</v>
      </c>
      <c r="L814" t="s">
        <v>22</v>
      </c>
      <c r="M814" t="s">
        <v>22</v>
      </c>
      <c r="N814" s="3">
        <v>46203</v>
      </c>
      <c r="O814" s="6">
        <v>3818.8</v>
      </c>
    </row>
    <row r="815" spans="1:15" x14ac:dyDescent="0.3">
      <c r="A815" t="s">
        <v>864</v>
      </c>
      <c r="B815" s="3">
        <v>45951</v>
      </c>
      <c r="C815" t="s">
        <v>795</v>
      </c>
      <c r="D815" t="s">
        <v>17</v>
      </c>
      <c r="E815" t="s">
        <v>18</v>
      </c>
      <c r="F815" t="s">
        <v>19</v>
      </c>
      <c r="G815" t="s">
        <v>20</v>
      </c>
      <c r="H815" t="s">
        <v>40</v>
      </c>
      <c r="I815">
        <v>8</v>
      </c>
      <c r="J815" s="6">
        <v>1594.12</v>
      </c>
      <c r="K815" s="6">
        <v>12752.96</v>
      </c>
      <c r="L815" t="s">
        <v>22</v>
      </c>
      <c r="M815" t="s">
        <v>22</v>
      </c>
      <c r="N815" s="3">
        <v>46203</v>
      </c>
      <c r="O815" s="6">
        <v>12752.96</v>
      </c>
    </row>
    <row r="816" spans="1:15" x14ac:dyDescent="0.3">
      <c r="A816" t="s">
        <v>865</v>
      </c>
      <c r="B816" s="3">
        <v>45951</v>
      </c>
      <c r="C816" t="s">
        <v>795</v>
      </c>
      <c r="D816" t="s">
        <v>49</v>
      </c>
      <c r="E816" t="s">
        <v>50</v>
      </c>
      <c r="F816" t="s">
        <v>19</v>
      </c>
      <c r="G816" t="s">
        <v>39</v>
      </c>
      <c r="H816" t="s">
        <v>21</v>
      </c>
      <c r="I816">
        <v>8</v>
      </c>
      <c r="J816" s="6">
        <v>453.77</v>
      </c>
      <c r="K816" s="6">
        <v>3630.16</v>
      </c>
      <c r="L816" t="s">
        <v>22</v>
      </c>
      <c r="M816" t="s">
        <v>22</v>
      </c>
      <c r="N816" s="3">
        <v>46203</v>
      </c>
      <c r="O816" s="6">
        <v>3630.16</v>
      </c>
    </row>
    <row r="817" spans="1:15" x14ac:dyDescent="0.3">
      <c r="A817" t="s">
        <v>866</v>
      </c>
      <c r="B817" s="3">
        <v>45952</v>
      </c>
      <c r="C817" t="s">
        <v>795</v>
      </c>
      <c r="D817" t="s">
        <v>49</v>
      </c>
      <c r="E817" t="s">
        <v>18</v>
      </c>
      <c r="F817" t="s">
        <v>38</v>
      </c>
      <c r="G817" t="s">
        <v>39</v>
      </c>
      <c r="H817" t="s">
        <v>40</v>
      </c>
      <c r="I817">
        <v>8</v>
      </c>
      <c r="J817" s="6">
        <v>530.92999999999995</v>
      </c>
      <c r="K817" s="6">
        <v>4247.4399999999996</v>
      </c>
      <c r="L817" t="s">
        <v>22</v>
      </c>
      <c r="M817" t="s">
        <v>22</v>
      </c>
      <c r="N817" s="3">
        <v>46203</v>
      </c>
      <c r="O817" s="6">
        <v>4247.4399999999996</v>
      </c>
    </row>
    <row r="818" spans="1:15" x14ac:dyDescent="0.3">
      <c r="A818" t="s">
        <v>867</v>
      </c>
      <c r="B818" s="3">
        <v>45953</v>
      </c>
      <c r="C818" t="s">
        <v>795</v>
      </c>
      <c r="D818" t="s">
        <v>24</v>
      </c>
      <c r="E818" t="s">
        <v>25</v>
      </c>
      <c r="F818" t="s">
        <v>19</v>
      </c>
      <c r="G818" t="s">
        <v>39</v>
      </c>
      <c r="H818" t="s">
        <v>34</v>
      </c>
      <c r="I818">
        <v>6</v>
      </c>
      <c r="J818" s="6">
        <v>826.43</v>
      </c>
      <c r="K818" s="6">
        <v>4958.58</v>
      </c>
      <c r="L818" t="s">
        <v>30</v>
      </c>
      <c r="M818" t="s">
        <v>36</v>
      </c>
      <c r="N818" s="3">
        <v>46133</v>
      </c>
      <c r="O818" s="6">
        <v>4958.58</v>
      </c>
    </row>
    <row r="819" spans="1:15" x14ac:dyDescent="0.3">
      <c r="A819" t="s">
        <v>868</v>
      </c>
      <c r="B819" s="3">
        <v>45953</v>
      </c>
      <c r="C819" t="s">
        <v>795</v>
      </c>
      <c r="D819" t="s">
        <v>49</v>
      </c>
      <c r="E819" t="s">
        <v>25</v>
      </c>
      <c r="F819" t="s">
        <v>38</v>
      </c>
      <c r="G819" t="s">
        <v>26</v>
      </c>
      <c r="H819" t="s">
        <v>34</v>
      </c>
      <c r="I819">
        <v>5</v>
      </c>
      <c r="J819" s="6">
        <v>514.02</v>
      </c>
      <c r="K819" s="6">
        <v>2570.1</v>
      </c>
      <c r="L819" t="s">
        <v>30</v>
      </c>
      <c r="M819" t="s">
        <v>80</v>
      </c>
      <c r="N819" s="3">
        <v>46116</v>
      </c>
      <c r="O819" s="6">
        <v>2570.1</v>
      </c>
    </row>
    <row r="820" spans="1:15" x14ac:dyDescent="0.3">
      <c r="A820" t="s">
        <v>869</v>
      </c>
      <c r="B820" s="3">
        <v>45953</v>
      </c>
      <c r="C820" t="s">
        <v>795</v>
      </c>
      <c r="D820" t="s">
        <v>49</v>
      </c>
      <c r="E820" t="s">
        <v>50</v>
      </c>
      <c r="F820" t="s">
        <v>19</v>
      </c>
      <c r="G820" t="s">
        <v>39</v>
      </c>
      <c r="H820" t="s">
        <v>34</v>
      </c>
      <c r="I820">
        <v>8</v>
      </c>
      <c r="J820" s="6">
        <v>491.76</v>
      </c>
      <c r="K820" s="6">
        <v>3934.08</v>
      </c>
      <c r="L820" t="s">
        <v>22</v>
      </c>
      <c r="M820" t="s">
        <v>22</v>
      </c>
      <c r="N820" s="3">
        <v>46203</v>
      </c>
      <c r="O820" s="6">
        <v>3934.08</v>
      </c>
    </row>
    <row r="821" spans="1:15" x14ac:dyDescent="0.3">
      <c r="A821" t="s">
        <v>870</v>
      </c>
      <c r="B821" s="3">
        <v>45954</v>
      </c>
      <c r="C821" t="s">
        <v>795</v>
      </c>
      <c r="D821" t="s">
        <v>17</v>
      </c>
      <c r="E821" t="s">
        <v>25</v>
      </c>
      <c r="F821" t="s">
        <v>29</v>
      </c>
      <c r="G821" t="s">
        <v>20</v>
      </c>
      <c r="H821" t="s">
        <v>21</v>
      </c>
      <c r="I821">
        <v>4</v>
      </c>
      <c r="J821" s="6">
        <v>1401.06</v>
      </c>
      <c r="K821" s="6">
        <v>5604.24</v>
      </c>
      <c r="L821" t="s">
        <v>30</v>
      </c>
      <c r="M821" t="s">
        <v>80</v>
      </c>
      <c r="N821" s="3">
        <v>46090</v>
      </c>
      <c r="O821" s="6">
        <v>5604.24</v>
      </c>
    </row>
    <row r="822" spans="1:15" x14ac:dyDescent="0.3">
      <c r="A822" t="s">
        <v>871</v>
      </c>
      <c r="B822" s="3">
        <v>45955</v>
      </c>
      <c r="C822" t="s">
        <v>795</v>
      </c>
      <c r="D822" t="s">
        <v>24</v>
      </c>
      <c r="E822" t="s">
        <v>50</v>
      </c>
      <c r="F822" t="s">
        <v>38</v>
      </c>
      <c r="G822" t="s">
        <v>39</v>
      </c>
      <c r="H822" t="s">
        <v>21</v>
      </c>
      <c r="I822">
        <v>8</v>
      </c>
      <c r="J822" s="6">
        <v>934.25</v>
      </c>
      <c r="K822" s="6">
        <v>7474</v>
      </c>
      <c r="L822" t="s">
        <v>22</v>
      </c>
      <c r="M822" t="s">
        <v>22</v>
      </c>
      <c r="N822" s="3">
        <v>46203</v>
      </c>
      <c r="O822" s="6">
        <v>7474</v>
      </c>
    </row>
    <row r="823" spans="1:15" x14ac:dyDescent="0.3">
      <c r="A823" t="s">
        <v>872</v>
      </c>
      <c r="B823" s="3">
        <v>45956</v>
      </c>
      <c r="C823" t="s">
        <v>795</v>
      </c>
      <c r="D823" t="s">
        <v>17</v>
      </c>
      <c r="E823" t="s">
        <v>28</v>
      </c>
      <c r="F823" t="s">
        <v>19</v>
      </c>
      <c r="G823" t="s">
        <v>39</v>
      </c>
      <c r="H823" t="s">
        <v>34</v>
      </c>
      <c r="I823">
        <v>8</v>
      </c>
      <c r="J823" s="6">
        <v>1536.81</v>
      </c>
      <c r="K823" s="6">
        <v>12294.48</v>
      </c>
      <c r="L823" t="s">
        <v>22</v>
      </c>
      <c r="M823" t="s">
        <v>22</v>
      </c>
      <c r="N823" s="3">
        <v>46203</v>
      </c>
      <c r="O823" s="6">
        <v>12294.48</v>
      </c>
    </row>
    <row r="824" spans="1:15" x14ac:dyDescent="0.3">
      <c r="A824" t="s">
        <v>873</v>
      </c>
      <c r="B824" s="3">
        <v>45956</v>
      </c>
      <c r="C824" t="s">
        <v>795</v>
      </c>
      <c r="D824" t="s">
        <v>17</v>
      </c>
      <c r="E824" t="s">
        <v>25</v>
      </c>
      <c r="F824" t="s">
        <v>51</v>
      </c>
      <c r="G824" t="s">
        <v>20</v>
      </c>
      <c r="H824" t="s">
        <v>21</v>
      </c>
      <c r="I824">
        <v>8</v>
      </c>
      <c r="J824" s="6">
        <v>1540.99</v>
      </c>
      <c r="K824" s="6">
        <v>12327.92</v>
      </c>
      <c r="L824" t="s">
        <v>22</v>
      </c>
      <c r="M824" t="s">
        <v>22</v>
      </c>
      <c r="N824" s="3">
        <v>46203</v>
      </c>
      <c r="O824" s="6">
        <v>12327.92</v>
      </c>
    </row>
    <row r="825" spans="1:15" x14ac:dyDescent="0.3">
      <c r="A825" t="s">
        <v>874</v>
      </c>
      <c r="B825" s="3">
        <v>45957</v>
      </c>
      <c r="C825" t="s">
        <v>795</v>
      </c>
      <c r="D825" t="s">
        <v>24</v>
      </c>
      <c r="E825" t="s">
        <v>25</v>
      </c>
      <c r="F825" t="s">
        <v>38</v>
      </c>
      <c r="G825" t="s">
        <v>39</v>
      </c>
      <c r="H825" t="s">
        <v>34</v>
      </c>
      <c r="I825">
        <v>8</v>
      </c>
      <c r="J825" s="6">
        <v>898.07</v>
      </c>
      <c r="K825" s="6">
        <v>7184.56</v>
      </c>
      <c r="L825" t="s">
        <v>22</v>
      </c>
      <c r="M825" t="s">
        <v>22</v>
      </c>
      <c r="N825" s="3">
        <v>46203</v>
      </c>
      <c r="O825" s="6">
        <v>7184.56</v>
      </c>
    </row>
    <row r="826" spans="1:15" x14ac:dyDescent="0.3">
      <c r="A826" t="s">
        <v>875</v>
      </c>
      <c r="B826" s="3">
        <v>45957</v>
      </c>
      <c r="C826" t="s">
        <v>795</v>
      </c>
      <c r="D826" t="s">
        <v>49</v>
      </c>
      <c r="E826" t="s">
        <v>25</v>
      </c>
      <c r="F826" t="s">
        <v>19</v>
      </c>
      <c r="G826" t="s">
        <v>39</v>
      </c>
      <c r="H826" t="s">
        <v>40</v>
      </c>
      <c r="I826">
        <v>7</v>
      </c>
      <c r="J826" s="6">
        <v>492.27</v>
      </c>
      <c r="K826" s="6">
        <v>3445.89</v>
      </c>
      <c r="L826" t="s">
        <v>30</v>
      </c>
      <c r="M826" t="s">
        <v>36</v>
      </c>
      <c r="N826" s="3">
        <v>46179</v>
      </c>
      <c r="O826" s="6">
        <v>3445.89</v>
      </c>
    </row>
    <row r="827" spans="1:15" x14ac:dyDescent="0.3">
      <c r="A827" t="s">
        <v>876</v>
      </c>
      <c r="B827" s="3">
        <v>45957</v>
      </c>
      <c r="C827" t="s">
        <v>795</v>
      </c>
      <c r="D827" t="s">
        <v>24</v>
      </c>
      <c r="E827" t="s">
        <v>50</v>
      </c>
      <c r="F827" t="s">
        <v>19</v>
      </c>
      <c r="G827" t="s">
        <v>39</v>
      </c>
      <c r="H827" t="s">
        <v>21</v>
      </c>
      <c r="I827">
        <v>8</v>
      </c>
      <c r="J827" s="6">
        <v>887.24</v>
      </c>
      <c r="K827" s="6">
        <v>7097.92</v>
      </c>
      <c r="L827" t="s">
        <v>22</v>
      </c>
      <c r="M827" t="s">
        <v>22</v>
      </c>
      <c r="N827" s="3">
        <v>46203</v>
      </c>
      <c r="O827" s="6">
        <v>7097.92</v>
      </c>
    </row>
    <row r="828" spans="1:15" x14ac:dyDescent="0.3">
      <c r="A828" t="s">
        <v>877</v>
      </c>
      <c r="B828" s="3">
        <v>45958</v>
      </c>
      <c r="C828" t="s">
        <v>795</v>
      </c>
      <c r="D828" t="s">
        <v>17</v>
      </c>
      <c r="E828" t="s">
        <v>28</v>
      </c>
      <c r="F828" t="s">
        <v>51</v>
      </c>
      <c r="G828" t="s">
        <v>39</v>
      </c>
      <c r="H828" t="s">
        <v>34</v>
      </c>
      <c r="I828">
        <v>3</v>
      </c>
      <c r="J828" s="6">
        <v>1408.51</v>
      </c>
      <c r="K828" s="6">
        <v>4225.53</v>
      </c>
      <c r="L828" t="s">
        <v>30</v>
      </c>
      <c r="M828" t="s">
        <v>43</v>
      </c>
      <c r="N828" s="3">
        <v>46055</v>
      </c>
      <c r="O828" s="6">
        <v>4225.53</v>
      </c>
    </row>
    <row r="829" spans="1:15" x14ac:dyDescent="0.3">
      <c r="A829" t="s">
        <v>878</v>
      </c>
      <c r="B829" s="3">
        <v>45959</v>
      </c>
      <c r="C829" t="s">
        <v>795</v>
      </c>
      <c r="D829" t="s">
        <v>49</v>
      </c>
      <c r="E829" t="s">
        <v>25</v>
      </c>
      <c r="F829" t="s">
        <v>19</v>
      </c>
      <c r="G829" t="s">
        <v>39</v>
      </c>
      <c r="H829" t="s">
        <v>34</v>
      </c>
      <c r="I829">
        <v>1</v>
      </c>
      <c r="J829" s="6">
        <v>548</v>
      </c>
      <c r="K829" s="6">
        <v>548</v>
      </c>
      <c r="L829" t="s">
        <v>30</v>
      </c>
      <c r="M829" t="s">
        <v>31</v>
      </c>
      <c r="N829" s="3">
        <v>46001</v>
      </c>
      <c r="O829" s="6">
        <v>548</v>
      </c>
    </row>
    <row r="830" spans="1:15" x14ac:dyDescent="0.3">
      <c r="A830" t="s">
        <v>879</v>
      </c>
      <c r="B830" s="3">
        <v>45959</v>
      </c>
      <c r="C830" t="s">
        <v>795</v>
      </c>
      <c r="D830" t="s">
        <v>49</v>
      </c>
      <c r="E830" t="s">
        <v>28</v>
      </c>
      <c r="F830" t="s">
        <v>19</v>
      </c>
      <c r="G830" t="s">
        <v>26</v>
      </c>
      <c r="H830" t="s">
        <v>34</v>
      </c>
      <c r="I830">
        <v>8</v>
      </c>
      <c r="J830" s="6">
        <v>491.98</v>
      </c>
      <c r="K830" s="6">
        <v>3935.84</v>
      </c>
      <c r="L830" t="s">
        <v>22</v>
      </c>
      <c r="M830" t="s">
        <v>22</v>
      </c>
      <c r="N830" s="3">
        <v>46203</v>
      </c>
      <c r="O830" s="6">
        <v>3935.84</v>
      </c>
    </row>
    <row r="831" spans="1:15" x14ac:dyDescent="0.3">
      <c r="A831" t="s">
        <v>880</v>
      </c>
      <c r="B831" s="3">
        <v>45959</v>
      </c>
      <c r="C831" t="s">
        <v>795</v>
      </c>
      <c r="D831" t="s">
        <v>49</v>
      </c>
      <c r="E831" t="s">
        <v>28</v>
      </c>
      <c r="F831" t="s">
        <v>19</v>
      </c>
      <c r="G831" t="s">
        <v>39</v>
      </c>
      <c r="H831" t="s">
        <v>21</v>
      </c>
      <c r="I831">
        <v>8</v>
      </c>
      <c r="J831" s="6">
        <v>509.5</v>
      </c>
      <c r="K831" s="6">
        <v>4076</v>
      </c>
      <c r="L831" t="s">
        <v>22</v>
      </c>
      <c r="M831" t="s">
        <v>22</v>
      </c>
      <c r="N831" s="3">
        <v>46203</v>
      </c>
      <c r="O831" s="6">
        <v>4076</v>
      </c>
    </row>
    <row r="832" spans="1:15" x14ac:dyDescent="0.3">
      <c r="A832" t="s">
        <v>881</v>
      </c>
      <c r="B832" s="3">
        <v>45959</v>
      </c>
      <c r="C832" t="s">
        <v>795</v>
      </c>
      <c r="D832" t="s">
        <v>24</v>
      </c>
      <c r="E832" t="s">
        <v>25</v>
      </c>
      <c r="F832" t="s">
        <v>19</v>
      </c>
      <c r="G832" t="s">
        <v>26</v>
      </c>
      <c r="H832" t="s">
        <v>40</v>
      </c>
      <c r="I832">
        <v>8</v>
      </c>
      <c r="J832" s="6">
        <v>967.03</v>
      </c>
      <c r="K832" s="6">
        <v>7736.24</v>
      </c>
      <c r="L832" t="s">
        <v>22</v>
      </c>
      <c r="M832" t="s">
        <v>22</v>
      </c>
      <c r="N832" s="3">
        <v>46203</v>
      </c>
      <c r="O832" s="6">
        <v>7736.24</v>
      </c>
    </row>
    <row r="833" spans="1:15" x14ac:dyDescent="0.3">
      <c r="A833" t="s">
        <v>882</v>
      </c>
      <c r="B833" s="3">
        <v>45959</v>
      </c>
      <c r="C833" t="s">
        <v>795</v>
      </c>
      <c r="D833" t="s">
        <v>24</v>
      </c>
      <c r="E833" t="s">
        <v>18</v>
      </c>
      <c r="F833" t="s">
        <v>19</v>
      </c>
      <c r="G833" t="s">
        <v>39</v>
      </c>
      <c r="H833" t="s">
        <v>34</v>
      </c>
      <c r="I833">
        <v>8</v>
      </c>
      <c r="J833" s="6">
        <v>864.74</v>
      </c>
      <c r="K833" s="6">
        <v>6917.92</v>
      </c>
      <c r="L833" t="s">
        <v>22</v>
      </c>
      <c r="M833" t="s">
        <v>22</v>
      </c>
      <c r="N833" s="3">
        <v>46203</v>
      </c>
      <c r="O833" s="6">
        <v>6917.92</v>
      </c>
    </row>
    <row r="834" spans="1:15" x14ac:dyDescent="0.3">
      <c r="A834" t="s">
        <v>883</v>
      </c>
      <c r="B834" s="3">
        <v>45960</v>
      </c>
      <c r="C834" t="s">
        <v>795</v>
      </c>
      <c r="D834" t="s">
        <v>17</v>
      </c>
      <c r="E834" t="s">
        <v>25</v>
      </c>
      <c r="F834" t="s">
        <v>29</v>
      </c>
      <c r="G834" t="s">
        <v>39</v>
      </c>
      <c r="H834" t="s">
        <v>21</v>
      </c>
      <c r="I834">
        <v>8</v>
      </c>
      <c r="J834" s="6">
        <v>1510.76</v>
      </c>
      <c r="K834" s="6">
        <v>12086.08</v>
      </c>
      <c r="L834" t="s">
        <v>22</v>
      </c>
      <c r="M834" t="s">
        <v>22</v>
      </c>
      <c r="N834" s="3">
        <v>46203</v>
      </c>
      <c r="O834" s="6">
        <v>12086.08</v>
      </c>
    </row>
    <row r="835" spans="1:15" x14ac:dyDescent="0.3">
      <c r="A835" t="s">
        <v>884</v>
      </c>
      <c r="B835" s="3">
        <v>45960</v>
      </c>
      <c r="C835" t="s">
        <v>795</v>
      </c>
      <c r="D835" t="s">
        <v>49</v>
      </c>
      <c r="E835" t="s">
        <v>18</v>
      </c>
      <c r="F835" t="s">
        <v>29</v>
      </c>
      <c r="G835" t="s">
        <v>39</v>
      </c>
      <c r="H835" t="s">
        <v>45</v>
      </c>
      <c r="I835">
        <v>8</v>
      </c>
      <c r="J835" s="6">
        <v>509.65</v>
      </c>
      <c r="K835" s="6">
        <v>4077.2</v>
      </c>
      <c r="L835" t="s">
        <v>22</v>
      </c>
      <c r="M835" t="s">
        <v>22</v>
      </c>
      <c r="N835" s="3">
        <v>46203</v>
      </c>
      <c r="O835" s="6">
        <v>4077.2</v>
      </c>
    </row>
    <row r="836" spans="1:15" x14ac:dyDescent="0.3">
      <c r="A836" t="s">
        <v>885</v>
      </c>
      <c r="B836" s="3">
        <v>45960</v>
      </c>
      <c r="C836" t="s">
        <v>795</v>
      </c>
      <c r="D836" t="s">
        <v>49</v>
      </c>
      <c r="E836" t="s">
        <v>28</v>
      </c>
      <c r="F836" t="s">
        <v>19</v>
      </c>
      <c r="G836" t="s">
        <v>39</v>
      </c>
      <c r="H836" t="s">
        <v>40</v>
      </c>
      <c r="I836">
        <v>8</v>
      </c>
      <c r="J836" s="6">
        <v>533.84</v>
      </c>
      <c r="K836" s="6">
        <v>4270.72</v>
      </c>
      <c r="L836" t="s">
        <v>22</v>
      </c>
      <c r="M836" t="s">
        <v>22</v>
      </c>
      <c r="N836" s="3">
        <v>46203</v>
      </c>
      <c r="O836" s="6">
        <v>4270.72</v>
      </c>
    </row>
    <row r="837" spans="1:15" x14ac:dyDescent="0.3">
      <c r="A837" t="s">
        <v>886</v>
      </c>
      <c r="B837" s="3">
        <v>45960</v>
      </c>
      <c r="C837" t="s">
        <v>795</v>
      </c>
      <c r="D837" t="s">
        <v>24</v>
      </c>
      <c r="E837" t="s">
        <v>25</v>
      </c>
      <c r="F837" t="s">
        <v>38</v>
      </c>
      <c r="G837" t="s">
        <v>39</v>
      </c>
      <c r="H837" t="s">
        <v>34</v>
      </c>
      <c r="I837">
        <v>8</v>
      </c>
      <c r="J837" s="6">
        <v>926.57</v>
      </c>
      <c r="K837" s="6">
        <v>7412.56</v>
      </c>
      <c r="L837" t="s">
        <v>22</v>
      </c>
      <c r="M837" t="s">
        <v>22</v>
      </c>
      <c r="N837" s="3">
        <v>46203</v>
      </c>
      <c r="O837" s="6">
        <v>7412.56</v>
      </c>
    </row>
    <row r="838" spans="1:15" x14ac:dyDescent="0.3">
      <c r="A838" t="s">
        <v>887</v>
      </c>
      <c r="B838" s="3">
        <v>45961</v>
      </c>
      <c r="C838" t="s">
        <v>795</v>
      </c>
      <c r="D838" t="s">
        <v>49</v>
      </c>
      <c r="E838" t="s">
        <v>50</v>
      </c>
      <c r="F838" t="s">
        <v>38</v>
      </c>
      <c r="G838" t="s">
        <v>39</v>
      </c>
      <c r="H838" t="s">
        <v>21</v>
      </c>
      <c r="I838">
        <v>8</v>
      </c>
      <c r="J838" s="6">
        <v>501.86</v>
      </c>
      <c r="K838" s="6">
        <v>4014.88</v>
      </c>
      <c r="L838" t="s">
        <v>22</v>
      </c>
      <c r="M838" t="s">
        <v>22</v>
      </c>
      <c r="N838" s="3">
        <v>46203</v>
      </c>
      <c r="O838" s="6">
        <v>4014.88</v>
      </c>
    </row>
    <row r="839" spans="1:15" x14ac:dyDescent="0.3">
      <c r="A839" t="s">
        <v>888</v>
      </c>
      <c r="B839" s="3">
        <v>45961</v>
      </c>
      <c r="C839" t="s">
        <v>795</v>
      </c>
      <c r="D839" t="s">
        <v>24</v>
      </c>
      <c r="E839" t="s">
        <v>25</v>
      </c>
      <c r="F839" t="s">
        <v>29</v>
      </c>
      <c r="G839" t="s">
        <v>20</v>
      </c>
      <c r="H839" t="s">
        <v>45</v>
      </c>
      <c r="I839">
        <v>2</v>
      </c>
      <c r="J839" s="6">
        <v>938.01</v>
      </c>
      <c r="K839" s="6">
        <v>1876.02</v>
      </c>
      <c r="L839" t="s">
        <v>30</v>
      </c>
      <c r="M839" t="s">
        <v>36</v>
      </c>
      <c r="N839" s="3">
        <v>46015</v>
      </c>
      <c r="O839" s="6">
        <v>1876.02</v>
      </c>
    </row>
    <row r="840" spans="1:15" x14ac:dyDescent="0.3">
      <c r="A840" t="s">
        <v>889</v>
      </c>
      <c r="B840" s="3">
        <v>45961</v>
      </c>
      <c r="C840" t="s">
        <v>795</v>
      </c>
      <c r="D840" t="s">
        <v>49</v>
      </c>
      <c r="E840" t="s">
        <v>25</v>
      </c>
      <c r="F840" t="s">
        <v>51</v>
      </c>
      <c r="G840" t="s">
        <v>20</v>
      </c>
      <c r="H840" t="s">
        <v>34</v>
      </c>
      <c r="I840">
        <v>8</v>
      </c>
      <c r="J840" s="6">
        <v>464.87</v>
      </c>
      <c r="K840" s="6">
        <v>3718.96</v>
      </c>
      <c r="L840" t="s">
        <v>22</v>
      </c>
      <c r="M840" t="s">
        <v>22</v>
      </c>
      <c r="N840" s="3">
        <v>46203</v>
      </c>
      <c r="O840" s="6">
        <v>3718.96</v>
      </c>
    </row>
    <row r="841" spans="1:15" x14ac:dyDescent="0.3">
      <c r="A841" t="s">
        <v>890</v>
      </c>
      <c r="B841" s="3">
        <v>45961</v>
      </c>
      <c r="C841" t="s">
        <v>795</v>
      </c>
      <c r="D841" t="s">
        <v>49</v>
      </c>
      <c r="E841" t="s">
        <v>25</v>
      </c>
      <c r="F841" t="s">
        <v>29</v>
      </c>
      <c r="G841" t="s">
        <v>39</v>
      </c>
      <c r="H841" t="s">
        <v>45</v>
      </c>
      <c r="I841">
        <v>8</v>
      </c>
      <c r="J841" s="6">
        <v>510.35</v>
      </c>
      <c r="K841" s="6">
        <v>4082.8</v>
      </c>
      <c r="L841" t="s">
        <v>22</v>
      </c>
      <c r="M841" t="s">
        <v>22</v>
      </c>
      <c r="N841" s="3">
        <v>46203</v>
      </c>
      <c r="O841" s="6">
        <v>4082.8</v>
      </c>
    </row>
    <row r="842" spans="1:15" x14ac:dyDescent="0.3">
      <c r="A842" t="s">
        <v>891</v>
      </c>
      <c r="B842" s="3">
        <v>45961</v>
      </c>
      <c r="C842" t="s">
        <v>795</v>
      </c>
      <c r="D842" t="s">
        <v>24</v>
      </c>
      <c r="E842" t="s">
        <v>50</v>
      </c>
      <c r="F842" t="s">
        <v>29</v>
      </c>
      <c r="G842" t="s">
        <v>39</v>
      </c>
      <c r="H842" t="s">
        <v>40</v>
      </c>
      <c r="I842">
        <v>5</v>
      </c>
      <c r="J842" s="6">
        <v>904.69</v>
      </c>
      <c r="K842" s="6">
        <v>4523.45</v>
      </c>
      <c r="L842" t="s">
        <v>30</v>
      </c>
      <c r="M842" t="s">
        <v>43</v>
      </c>
      <c r="N842" s="3">
        <v>46122</v>
      </c>
      <c r="O842" s="6">
        <v>4523.45</v>
      </c>
    </row>
    <row r="843" spans="1:15" x14ac:dyDescent="0.3">
      <c r="A843" t="s">
        <v>892</v>
      </c>
      <c r="B843" s="3">
        <v>45962</v>
      </c>
      <c r="C843" t="s">
        <v>893</v>
      </c>
      <c r="D843" t="s">
        <v>49</v>
      </c>
      <c r="E843" t="s">
        <v>28</v>
      </c>
      <c r="F843" t="s">
        <v>29</v>
      </c>
      <c r="G843" t="s">
        <v>39</v>
      </c>
      <c r="H843" t="s">
        <v>21</v>
      </c>
      <c r="I843">
        <v>8</v>
      </c>
      <c r="J843" s="6">
        <v>457.57</v>
      </c>
      <c r="K843" s="6">
        <v>3660.56</v>
      </c>
      <c r="L843" t="s">
        <v>22</v>
      </c>
      <c r="M843" t="s">
        <v>22</v>
      </c>
      <c r="N843" s="3">
        <v>46203</v>
      </c>
      <c r="O843" s="6">
        <v>3660.56</v>
      </c>
    </row>
    <row r="844" spans="1:15" x14ac:dyDescent="0.3">
      <c r="A844" t="s">
        <v>894</v>
      </c>
      <c r="B844" s="3">
        <v>45962</v>
      </c>
      <c r="C844" t="s">
        <v>893</v>
      </c>
      <c r="D844" t="s">
        <v>17</v>
      </c>
      <c r="E844" t="s">
        <v>25</v>
      </c>
      <c r="F844" t="s">
        <v>33</v>
      </c>
      <c r="G844" t="s">
        <v>39</v>
      </c>
      <c r="H844" t="s">
        <v>40</v>
      </c>
      <c r="I844">
        <v>8</v>
      </c>
      <c r="J844" s="6">
        <v>1359.01</v>
      </c>
      <c r="K844" s="6">
        <v>10872.08</v>
      </c>
      <c r="L844" t="s">
        <v>22</v>
      </c>
      <c r="M844" t="s">
        <v>22</v>
      </c>
      <c r="N844" s="3">
        <v>46203</v>
      </c>
      <c r="O844" s="6">
        <v>10872.08</v>
      </c>
    </row>
    <row r="845" spans="1:15" x14ac:dyDescent="0.3">
      <c r="A845" t="s">
        <v>895</v>
      </c>
      <c r="B845" s="3">
        <v>45963</v>
      </c>
      <c r="C845" t="s">
        <v>893</v>
      </c>
      <c r="D845" t="s">
        <v>24</v>
      </c>
      <c r="E845" t="s">
        <v>25</v>
      </c>
      <c r="F845" t="s">
        <v>33</v>
      </c>
      <c r="G845" t="s">
        <v>39</v>
      </c>
      <c r="H845" t="s">
        <v>21</v>
      </c>
      <c r="I845">
        <v>2</v>
      </c>
      <c r="J845" s="6">
        <v>900.05</v>
      </c>
      <c r="K845" s="6">
        <v>1800.1</v>
      </c>
      <c r="L845" t="s">
        <v>30</v>
      </c>
      <c r="M845" t="s">
        <v>31</v>
      </c>
      <c r="N845" s="3">
        <v>46036</v>
      </c>
      <c r="O845" s="6">
        <v>1800.1</v>
      </c>
    </row>
    <row r="846" spans="1:15" x14ac:dyDescent="0.3">
      <c r="A846" t="s">
        <v>896</v>
      </c>
      <c r="B846" s="3">
        <v>45963</v>
      </c>
      <c r="C846" t="s">
        <v>893</v>
      </c>
      <c r="D846" t="s">
        <v>49</v>
      </c>
      <c r="E846" t="s">
        <v>28</v>
      </c>
      <c r="F846" t="s">
        <v>19</v>
      </c>
      <c r="G846" t="s">
        <v>39</v>
      </c>
      <c r="H846" t="s">
        <v>34</v>
      </c>
      <c r="I846">
        <v>8</v>
      </c>
      <c r="J846" s="6">
        <v>469.63</v>
      </c>
      <c r="K846" s="6">
        <v>3757.04</v>
      </c>
      <c r="L846" t="s">
        <v>22</v>
      </c>
      <c r="M846" t="s">
        <v>22</v>
      </c>
      <c r="N846" s="3">
        <v>46203</v>
      </c>
      <c r="O846" s="6">
        <v>3757.04</v>
      </c>
    </row>
    <row r="847" spans="1:15" x14ac:dyDescent="0.3">
      <c r="A847" t="s">
        <v>897</v>
      </c>
      <c r="B847" s="3">
        <v>45963</v>
      </c>
      <c r="C847" t="s">
        <v>893</v>
      </c>
      <c r="D847" t="s">
        <v>24</v>
      </c>
      <c r="E847" t="s">
        <v>18</v>
      </c>
      <c r="F847" t="s">
        <v>19</v>
      </c>
      <c r="G847" t="s">
        <v>39</v>
      </c>
      <c r="H847" t="s">
        <v>45</v>
      </c>
      <c r="I847">
        <v>6</v>
      </c>
      <c r="J847" s="6">
        <v>871.78</v>
      </c>
      <c r="K847" s="6">
        <v>5230.68</v>
      </c>
      <c r="L847" t="s">
        <v>30</v>
      </c>
      <c r="M847" t="s">
        <v>36</v>
      </c>
      <c r="N847" s="3">
        <v>46133</v>
      </c>
      <c r="O847" s="6">
        <v>5230.68</v>
      </c>
    </row>
    <row r="848" spans="1:15" x14ac:dyDescent="0.3">
      <c r="A848" t="s">
        <v>898</v>
      </c>
      <c r="B848" s="3">
        <v>45964</v>
      </c>
      <c r="C848" t="s">
        <v>893</v>
      </c>
      <c r="D848" t="s">
        <v>49</v>
      </c>
      <c r="E848" t="s">
        <v>25</v>
      </c>
      <c r="F848" t="s">
        <v>19</v>
      </c>
      <c r="G848" t="s">
        <v>39</v>
      </c>
      <c r="H848" t="s">
        <v>34</v>
      </c>
      <c r="I848">
        <v>8</v>
      </c>
      <c r="J848" s="6">
        <v>463.63</v>
      </c>
      <c r="K848" s="6">
        <v>3709.04</v>
      </c>
      <c r="L848" t="s">
        <v>30</v>
      </c>
      <c r="M848" t="s">
        <v>80</v>
      </c>
      <c r="N848" s="3">
        <v>46196</v>
      </c>
      <c r="O848" s="6">
        <v>3709.04</v>
      </c>
    </row>
    <row r="849" spans="1:15" x14ac:dyDescent="0.3">
      <c r="A849" t="s">
        <v>899</v>
      </c>
      <c r="B849" s="3">
        <v>45964</v>
      </c>
      <c r="C849" t="s">
        <v>893</v>
      </c>
      <c r="D849" t="s">
        <v>49</v>
      </c>
      <c r="E849" t="s">
        <v>25</v>
      </c>
      <c r="F849" t="s">
        <v>33</v>
      </c>
      <c r="G849" t="s">
        <v>39</v>
      </c>
      <c r="H849" t="s">
        <v>21</v>
      </c>
      <c r="I849">
        <v>3</v>
      </c>
      <c r="J849" s="6">
        <v>520.47</v>
      </c>
      <c r="K849" s="6">
        <v>1561.41</v>
      </c>
      <c r="L849" t="s">
        <v>30</v>
      </c>
      <c r="M849" t="s">
        <v>43</v>
      </c>
      <c r="N849" s="3">
        <v>46049</v>
      </c>
      <c r="O849" s="6">
        <v>1561.41</v>
      </c>
    </row>
    <row r="850" spans="1:15" x14ac:dyDescent="0.3">
      <c r="A850" t="s">
        <v>900</v>
      </c>
      <c r="B850" s="3">
        <v>45964</v>
      </c>
      <c r="C850" t="s">
        <v>893</v>
      </c>
      <c r="D850" t="s">
        <v>24</v>
      </c>
      <c r="E850" t="s">
        <v>25</v>
      </c>
      <c r="F850" t="s">
        <v>38</v>
      </c>
      <c r="G850" t="s">
        <v>26</v>
      </c>
      <c r="H850" t="s">
        <v>21</v>
      </c>
      <c r="I850">
        <v>4</v>
      </c>
      <c r="J850" s="6">
        <v>810.92</v>
      </c>
      <c r="K850" s="6">
        <v>3243.68</v>
      </c>
      <c r="L850" t="s">
        <v>30</v>
      </c>
      <c r="M850" t="s">
        <v>31</v>
      </c>
      <c r="N850" s="3">
        <v>46092</v>
      </c>
      <c r="O850" s="6">
        <v>3243.68</v>
      </c>
    </row>
    <row r="851" spans="1:15" x14ac:dyDescent="0.3">
      <c r="A851" t="s">
        <v>901</v>
      </c>
      <c r="B851" s="3">
        <v>45964</v>
      </c>
      <c r="C851" t="s">
        <v>893</v>
      </c>
      <c r="D851" t="s">
        <v>24</v>
      </c>
      <c r="E851" t="s">
        <v>18</v>
      </c>
      <c r="F851" t="s">
        <v>29</v>
      </c>
      <c r="G851" t="s">
        <v>39</v>
      </c>
      <c r="H851" t="s">
        <v>21</v>
      </c>
      <c r="I851">
        <v>8</v>
      </c>
      <c r="J851" s="6">
        <v>929.22</v>
      </c>
      <c r="K851" s="6">
        <v>7433.76</v>
      </c>
      <c r="L851" t="s">
        <v>22</v>
      </c>
      <c r="M851" t="s">
        <v>22</v>
      </c>
      <c r="N851" s="3">
        <v>46203</v>
      </c>
      <c r="O851" s="6">
        <v>7433.76</v>
      </c>
    </row>
    <row r="852" spans="1:15" x14ac:dyDescent="0.3">
      <c r="A852" t="s">
        <v>902</v>
      </c>
      <c r="B852" s="3">
        <v>45965</v>
      </c>
      <c r="C852" t="s">
        <v>893</v>
      </c>
      <c r="D852" t="s">
        <v>24</v>
      </c>
      <c r="E852" t="s">
        <v>28</v>
      </c>
      <c r="F852" t="s">
        <v>51</v>
      </c>
      <c r="G852" t="s">
        <v>39</v>
      </c>
      <c r="H852" t="s">
        <v>21</v>
      </c>
      <c r="I852">
        <v>8</v>
      </c>
      <c r="J852" s="6">
        <v>940.22</v>
      </c>
      <c r="K852" s="6">
        <v>7521.76</v>
      </c>
      <c r="L852" t="s">
        <v>22</v>
      </c>
      <c r="M852" t="s">
        <v>22</v>
      </c>
      <c r="N852" s="3">
        <v>46203</v>
      </c>
      <c r="O852" s="6">
        <v>7521.76</v>
      </c>
    </row>
    <row r="853" spans="1:15" x14ac:dyDescent="0.3">
      <c r="A853" t="s">
        <v>903</v>
      </c>
      <c r="B853" s="3">
        <v>45965</v>
      </c>
      <c r="C853" t="s">
        <v>893</v>
      </c>
      <c r="D853" t="s">
        <v>49</v>
      </c>
      <c r="E853" t="s">
        <v>50</v>
      </c>
      <c r="F853" t="s">
        <v>19</v>
      </c>
      <c r="G853" t="s">
        <v>20</v>
      </c>
      <c r="H853" t="s">
        <v>34</v>
      </c>
      <c r="I853">
        <v>8</v>
      </c>
      <c r="J853" s="6">
        <v>507.44</v>
      </c>
      <c r="K853" s="6">
        <v>4059.52</v>
      </c>
      <c r="L853" t="s">
        <v>22</v>
      </c>
      <c r="M853" t="s">
        <v>22</v>
      </c>
      <c r="N853" s="3">
        <v>46203</v>
      </c>
      <c r="O853" s="6">
        <v>4059.52</v>
      </c>
    </row>
    <row r="854" spans="1:15" x14ac:dyDescent="0.3">
      <c r="A854" t="s">
        <v>904</v>
      </c>
      <c r="B854" s="3">
        <v>45966</v>
      </c>
      <c r="C854" t="s">
        <v>893</v>
      </c>
      <c r="D854" t="s">
        <v>24</v>
      </c>
      <c r="E854" t="s">
        <v>18</v>
      </c>
      <c r="F854" t="s">
        <v>29</v>
      </c>
      <c r="G854" t="s">
        <v>20</v>
      </c>
      <c r="H854" t="s">
        <v>45</v>
      </c>
      <c r="I854">
        <v>7</v>
      </c>
      <c r="J854" s="6">
        <v>965.38</v>
      </c>
      <c r="K854" s="6">
        <v>6757.66</v>
      </c>
      <c r="L854" t="s">
        <v>30</v>
      </c>
      <c r="M854" t="s">
        <v>43</v>
      </c>
      <c r="N854" s="3">
        <v>46175</v>
      </c>
      <c r="O854" s="6">
        <v>6757.66</v>
      </c>
    </row>
    <row r="855" spans="1:15" x14ac:dyDescent="0.3">
      <c r="A855" t="s">
        <v>905</v>
      </c>
      <c r="B855" s="3">
        <v>45966</v>
      </c>
      <c r="C855" t="s">
        <v>893</v>
      </c>
      <c r="D855" t="s">
        <v>17</v>
      </c>
      <c r="E855" t="s">
        <v>28</v>
      </c>
      <c r="F855" t="s">
        <v>38</v>
      </c>
      <c r="G855" t="s">
        <v>39</v>
      </c>
      <c r="H855" t="s">
        <v>21</v>
      </c>
      <c r="I855">
        <v>8</v>
      </c>
      <c r="J855" s="6">
        <v>1518.5</v>
      </c>
      <c r="K855" s="6">
        <v>12148</v>
      </c>
      <c r="L855" t="s">
        <v>22</v>
      </c>
      <c r="M855" t="s">
        <v>22</v>
      </c>
      <c r="N855" s="3">
        <v>46203</v>
      </c>
      <c r="O855" s="6">
        <v>12148</v>
      </c>
    </row>
    <row r="856" spans="1:15" x14ac:dyDescent="0.3">
      <c r="A856" t="s">
        <v>906</v>
      </c>
      <c r="B856" s="3">
        <v>45966</v>
      </c>
      <c r="C856" t="s">
        <v>893</v>
      </c>
      <c r="D856" t="s">
        <v>49</v>
      </c>
      <c r="E856" t="s">
        <v>50</v>
      </c>
      <c r="F856" t="s">
        <v>19</v>
      </c>
      <c r="G856" t="s">
        <v>39</v>
      </c>
      <c r="H856" t="s">
        <v>21</v>
      </c>
      <c r="I856">
        <v>8</v>
      </c>
      <c r="J856" s="6">
        <v>452.63</v>
      </c>
      <c r="K856" s="6">
        <v>3621.04</v>
      </c>
      <c r="L856" t="s">
        <v>22</v>
      </c>
      <c r="M856" t="s">
        <v>22</v>
      </c>
      <c r="N856" s="3">
        <v>46203</v>
      </c>
      <c r="O856" s="6">
        <v>3621.04</v>
      </c>
    </row>
    <row r="857" spans="1:15" x14ac:dyDescent="0.3">
      <c r="A857" t="s">
        <v>907</v>
      </c>
      <c r="B857" s="3">
        <v>45966</v>
      </c>
      <c r="C857" t="s">
        <v>893</v>
      </c>
      <c r="D857" t="s">
        <v>24</v>
      </c>
      <c r="E857" t="s">
        <v>28</v>
      </c>
      <c r="F857" t="s">
        <v>29</v>
      </c>
      <c r="G857" t="s">
        <v>39</v>
      </c>
      <c r="H857" t="s">
        <v>40</v>
      </c>
      <c r="I857">
        <v>7</v>
      </c>
      <c r="J857" s="6">
        <v>917.27</v>
      </c>
      <c r="K857" s="6">
        <v>6420.89</v>
      </c>
      <c r="L857" t="s">
        <v>30</v>
      </c>
      <c r="M857" t="s">
        <v>80</v>
      </c>
      <c r="N857" s="3">
        <v>46191</v>
      </c>
      <c r="O857" s="6">
        <v>6420.89</v>
      </c>
    </row>
    <row r="858" spans="1:15" x14ac:dyDescent="0.3">
      <c r="A858" t="s">
        <v>908</v>
      </c>
      <c r="B858" s="3">
        <v>45967</v>
      </c>
      <c r="C858" t="s">
        <v>893</v>
      </c>
      <c r="D858" t="s">
        <v>17</v>
      </c>
      <c r="E858" t="s">
        <v>25</v>
      </c>
      <c r="F858" t="s">
        <v>29</v>
      </c>
      <c r="G858" t="s">
        <v>39</v>
      </c>
      <c r="H858" t="s">
        <v>21</v>
      </c>
      <c r="I858">
        <v>8</v>
      </c>
      <c r="J858" s="6">
        <v>1568.91</v>
      </c>
      <c r="K858" s="6">
        <v>12551.28</v>
      </c>
      <c r="L858" t="s">
        <v>22</v>
      </c>
      <c r="M858" t="s">
        <v>22</v>
      </c>
      <c r="N858" s="3">
        <v>46203</v>
      </c>
      <c r="O858" s="6">
        <v>12551.28</v>
      </c>
    </row>
    <row r="859" spans="1:15" x14ac:dyDescent="0.3">
      <c r="A859" t="s">
        <v>909</v>
      </c>
      <c r="B859" s="3">
        <v>45967</v>
      </c>
      <c r="C859" t="s">
        <v>893</v>
      </c>
      <c r="D859" t="s">
        <v>24</v>
      </c>
      <c r="E859" t="s">
        <v>28</v>
      </c>
      <c r="F859" t="s">
        <v>19</v>
      </c>
      <c r="G859" t="s">
        <v>39</v>
      </c>
      <c r="H859" t="s">
        <v>40</v>
      </c>
      <c r="I859">
        <v>8</v>
      </c>
      <c r="J859" s="6">
        <v>944.97</v>
      </c>
      <c r="K859" s="6">
        <v>7559.76</v>
      </c>
      <c r="L859" t="s">
        <v>22</v>
      </c>
      <c r="M859" t="s">
        <v>22</v>
      </c>
      <c r="N859" s="3">
        <v>46203</v>
      </c>
      <c r="O859" s="6">
        <v>7559.76</v>
      </c>
    </row>
    <row r="860" spans="1:15" x14ac:dyDescent="0.3">
      <c r="A860" t="s">
        <v>910</v>
      </c>
      <c r="B860" s="3">
        <v>45968</v>
      </c>
      <c r="C860" t="s">
        <v>893</v>
      </c>
      <c r="D860" t="s">
        <v>24</v>
      </c>
      <c r="E860" t="s">
        <v>28</v>
      </c>
      <c r="F860" t="s">
        <v>33</v>
      </c>
      <c r="G860" t="s">
        <v>20</v>
      </c>
      <c r="H860" t="s">
        <v>34</v>
      </c>
      <c r="I860">
        <v>8</v>
      </c>
      <c r="J860" s="6">
        <v>819.77</v>
      </c>
      <c r="K860" s="6">
        <v>6558.16</v>
      </c>
      <c r="L860" t="s">
        <v>22</v>
      </c>
      <c r="M860" t="s">
        <v>22</v>
      </c>
      <c r="N860" s="3">
        <v>46203</v>
      </c>
      <c r="O860" s="6">
        <v>6558.16</v>
      </c>
    </row>
    <row r="861" spans="1:15" x14ac:dyDescent="0.3">
      <c r="A861" t="s">
        <v>911</v>
      </c>
      <c r="B861" s="3">
        <v>45968</v>
      </c>
      <c r="C861" t="s">
        <v>893</v>
      </c>
      <c r="D861" t="s">
        <v>49</v>
      </c>
      <c r="E861" t="s">
        <v>25</v>
      </c>
      <c r="F861" t="s">
        <v>38</v>
      </c>
      <c r="G861" t="s">
        <v>39</v>
      </c>
      <c r="H861" t="s">
        <v>34</v>
      </c>
      <c r="I861">
        <v>8</v>
      </c>
      <c r="J861" s="6">
        <v>536.12</v>
      </c>
      <c r="K861" s="6">
        <v>4288.96</v>
      </c>
      <c r="L861" t="s">
        <v>22</v>
      </c>
      <c r="M861" t="s">
        <v>22</v>
      </c>
      <c r="N861" s="3">
        <v>46203</v>
      </c>
      <c r="O861" s="6">
        <v>4288.96</v>
      </c>
    </row>
    <row r="862" spans="1:15" x14ac:dyDescent="0.3">
      <c r="A862" t="s">
        <v>912</v>
      </c>
      <c r="B862" s="3">
        <v>45968</v>
      </c>
      <c r="C862" t="s">
        <v>893</v>
      </c>
      <c r="D862" t="s">
        <v>49</v>
      </c>
      <c r="E862" t="s">
        <v>28</v>
      </c>
      <c r="F862" t="s">
        <v>19</v>
      </c>
      <c r="G862" t="s">
        <v>20</v>
      </c>
      <c r="H862" t="s">
        <v>21</v>
      </c>
      <c r="I862">
        <v>8</v>
      </c>
      <c r="J862" s="6">
        <v>500.93</v>
      </c>
      <c r="K862" s="6">
        <v>4007.44</v>
      </c>
      <c r="L862" t="s">
        <v>22</v>
      </c>
      <c r="M862" t="s">
        <v>22</v>
      </c>
      <c r="N862" s="3">
        <v>46203</v>
      </c>
      <c r="O862" s="6">
        <v>4007.44</v>
      </c>
    </row>
    <row r="863" spans="1:15" x14ac:dyDescent="0.3">
      <c r="A863" t="s">
        <v>913</v>
      </c>
      <c r="B863" s="3">
        <v>45968</v>
      </c>
      <c r="C863" t="s">
        <v>893</v>
      </c>
      <c r="D863" t="s">
        <v>49</v>
      </c>
      <c r="E863" t="s">
        <v>18</v>
      </c>
      <c r="F863" t="s">
        <v>29</v>
      </c>
      <c r="G863" t="s">
        <v>20</v>
      </c>
      <c r="H863" t="s">
        <v>45</v>
      </c>
      <c r="I863">
        <v>8</v>
      </c>
      <c r="J863" s="6">
        <v>498.99</v>
      </c>
      <c r="K863" s="6">
        <v>3991.92</v>
      </c>
      <c r="L863" t="s">
        <v>22</v>
      </c>
      <c r="M863" t="s">
        <v>22</v>
      </c>
      <c r="N863" s="3">
        <v>46203</v>
      </c>
      <c r="O863" s="6">
        <v>3991.92</v>
      </c>
    </row>
    <row r="864" spans="1:15" x14ac:dyDescent="0.3">
      <c r="A864" t="s">
        <v>914</v>
      </c>
      <c r="B864" s="3">
        <v>45968</v>
      </c>
      <c r="C864" t="s">
        <v>893</v>
      </c>
      <c r="D864" t="s">
        <v>24</v>
      </c>
      <c r="E864" t="s">
        <v>25</v>
      </c>
      <c r="F864" t="s">
        <v>29</v>
      </c>
      <c r="G864" t="s">
        <v>20</v>
      </c>
      <c r="H864" t="s">
        <v>21</v>
      </c>
      <c r="I864">
        <v>8</v>
      </c>
      <c r="J864" s="6">
        <v>968.55</v>
      </c>
      <c r="K864" s="6">
        <v>7748.4</v>
      </c>
      <c r="L864" t="s">
        <v>22</v>
      </c>
      <c r="M864" t="s">
        <v>22</v>
      </c>
      <c r="N864" s="3">
        <v>46203</v>
      </c>
      <c r="O864" s="6">
        <v>7748.4</v>
      </c>
    </row>
    <row r="865" spans="1:15" x14ac:dyDescent="0.3">
      <c r="A865" t="s">
        <v>915</v>
      </c>
      <c r="B865" s="3">
        <v>45969</v>
      </c>
      <c r="C865" t="s">
        <v>893</v>
      </c>
      <c r="D865" t="s">
        <v>17</v>
      </c>
      <c r="E865" t="s">
        <v>28</v>
      </c>
      <c r="F865" t="s">
        <v>29</v>
      </c>
      <c r="G865" t="s">
        <v>20</v>
      </c>
      <c r="H865" t="s">
        <v>21</v>
      </c>
      <c r="I865">
        <v>8</v>
      </c>
      <c r="J865" s="6">
        <v>1572.83</v>
      </c>
      <c r="K865" s="6">
        <v>12582.64</v>
      </c>
      <c r="L865" t="s">
        <v>22</v>
      </c>
      <c r="M865" t="s">
        <v>22</v>
      </c>
      <c r="N865" s="3">
        <v>46203</v>
      </c>
      <c r="O865" s="6">
        <v>12582.64</v>
      </c>
    </row>
    <row r="866" spans="1:15" x14ac:dyDescent="0.3">
      <c r="A866" t="s">
        <v>916</v>
      </c>
      <c r="B866" s="3">
        <v>45969</v>
      </c>
      <c r="C866" t="s">
        <v>893</v>
      </c>
      <c r="D866" t="s">
        <v>17</v>
      </c>
      <c r="E866" t="s">
        <v>28</v>
      </c>
      <c r="F866" t="s">
        <v>38</v>
      </c>
      <c r="G866" t="s">
        <v>20</v>
      </c>
      <c r="H866" t="s">
        <v>45</v>
      </c>
      <c r="I866">
        <v>7</v>
      </c>
      <c r="J866" s="6">
        <v>1417.32</v>
      </c>
      <c r="K866" s="6">
        <v>9921.24</v>
      </c>
      <c r="L866" t="s">
        <v>30</v>
      </c>
      <c r="M866" t="s">
        <v>31</v>
      </c>
      <c r="N866" s="3">
        <v>46186</v>
      </c>
      <c r="O866" s="6">
        <v>9921.24</v>
      </c>
    </row>
    <row r="867" spans="1:15" x14ac:dyDescent="0.3">
      <c r="A867" t="s">
        <v>917</v>
      </c>
      <c r="B867" s="3">
        <v>45969</v>
      </c>
      <c r="C867" t="s">
        <v>893</v>
      </c>
      <c r="D867" t="s">
        <v>17</v>
      </c>
      <c r="E867" t="s">
        <v>18</v>
      </c>
      <c r="F867" t="s">
        <v>51</v>
      </c>
      <c r="G867" t="s">
        <v>39</v>
      </c>
      <c r="H867" t="s">
        <v>21</v>
      </c>
      <c r="I867">
        <v>8</v>
      </c>
      <c r="J867" s="6">
        <v>1377.84</v>
      </c>
      <c r="K867" s="6">
        <v>11022.72</v>
      </c>
      <c r="L867" t="s">
        <v>22</v>
      </c>
      <c r="M867" t="s">
        <v>22</v>
      </c>
      <c r="N867" s="3">
        <v>46203</v>
      </c>
      <c r="O867" s="6">
        <v>11022.72</v>
      </c>
    </row>
    <row r="868" spans="1:15" x14ac:dyDescent="0.3">
      <c r="A868" t="s">
        <v>918</v>
      </c>
      <c r="B868" s="3">
        <v>45970</v>
      </c>
      <c r="C868" t="s">
        <v>893</v>
      </c>
      <c r="D868" t="s">
        <v>24</v>
      </c>
      <c r="E868" t="s">
        <v>25</v>
      </c>
      <c r="F868" t="s">
        <v>51</v>
      </c>
      <c r="G868" t="s">
        <v>39</v>
      </c>
      <c r="H868" t="s">
        <v>34</v>
      </c>
      <c r="I868">
        <v>8</v>
      </c>
      <c r="J868" s="6">
        <v>967.93</v>
      </c>
      <c r="K868" s="6">
        <v>7743.44</v>
      </c>
      <c r="L868" t="s">
        <v>22</v>
      </c>
      <c r="M868" t="s">
        <v>22</v>
      </c>
      <c r="N868" s="3">
        <v>46203</v>
      </c>
      <c r="O868" s="6">
        <v>7743.44</v>
      </c>
    </row>
    <row r="869" spans="1:15" x14ac:dyDescent="0.3">
      <c r="A869" t="s">
        <v>919</v>
      </c>
      <c r="B869" s="3">
        <v>45970</v>
      </c>
      <c r="C869" t="s">
        <v>893</v>
      </c>
      <c r="D869" t="s">
        <v>17</v>
      </c>
      <c r="E869" t="s">
        <v>28</v>
      </c>
      <c r="F869" t="s">
        <v>19</v>
      </c>
      <c r="G869" t="s">
        <v>20</v>
      </c>
      <c r="H869" t="s">
        <v>21</v>
      </c>
      <c r="I869">
        <v>5</v>
      </c>
      <c r="J869" s="6">
        <v>1352.22</v>
      </c>
      <c r="K869" s="6">
        <v>6761.1</v>
      </c>
      <c r="L869" t="s">
        <v>30</v>
      </c>
      <c r="M869" t="s">
        <v>31</v>
      </c>
      <c r="N869" s="3">
        <v>46137</v>
      </c>
      <c r="O869" s="6">
        <v>6761.1</v>
      </c>
    </row>
    <row r="870" spans="1:15" x14ac:dyDescent="0.3">
      <c r="A870" t="s">
        <v>920</v>
      </c>
      <c r="B870" s="3">
        <v>45970</v>
      </c>
      <c r="C870" t="s">
        <v>893</v>
      </c>
      <c r="D870" t="s">
        <v>49</v>
      </c>
      <c r="E870" t="s">
        <v>25</v>
      </c>
      <c r="F870" t="s">
        <v>29</v>
      </c>
      <c r="G870" t="s">
        <v>26</v>
      </c>
      <c r="H870" t="s">
        <v>45</v>
      </c>
      <c r="I870">
        <v>8</v>
      </c>
      <c r="J870" s="6">
        <v>537.55999999999995</v>
      </c>
      <c r="K870" s="6">
        <v>4300.4799999999996</v>
      </c>
      <c r="L870" t="s">
        <v>22</v>
      </c>
      <c r="M870" t="s">
        <v>22</v>
      </c>
      <c r="N870" s="3">
        <v>46203</v>
      </c>
      <c r="O870" s="6">
        <v>4300.4799999999996</v>
      </c>
    </row>
    <row r="871" spans="1:15" x14ac:dyDescent="0.3">
      <c r="A871" t="s">
        <v>921</v>
      </c>
      <c r="B871" s="3">
        <v>45971</v>
      </c>
      <c r="C871" t="s">
        <v>893</v>
      </c>
      <c r="D871" t="s">
        <v>24</v>
      </c>
      <c r="E871" t="s">
        <v>28</v>
      </c>
      <c r="F871" t="s">
        <v>33</v>
      </c>
      <c r="G871" t="s">
        <v>39</v>
      </c>
      <c r="H871" t="s">
        <v>21</v>
      </c>
      <c r="I871">
        <v>2</v>
      </c>
      <c r="J871" s="6">
        <v>874.28</v>
      </c>
      <c r="K871" s="6">
        <v>1748.56</v>
      </c>
      <c r="L871" t="s">
        <v>30</v>
      </c>
      <c r="M871" t="s">
        <v>43</v>
      </c>
      <c r="N871" s="3">
        <v>46017</v>
      </c>
      <c r="O871" s="6">
        <v>1748.56</v>
      </c>
    </row>
    <row r="872" spans="1:15" x14ac:dyDescent="0.3">
      <c r="A872" t="s">
        <v>922</v>
      </c>
      <c r="B872" s="3">
        <v>45971</v>
      </c>
      <c r="C872" t="s">
        <v>893</v>
      </c>
      <c r="D872" t="s">
        <v>24</v>
      </c>
      <c r="E872" t="s">
        <v>18</v>
      </c>
      <c r="F872" t="s">
        <v>38</v>
      </c>
      <c r="G872" t="s">
        <v>39</v>
      </c>
      <c r="H872" t="s">
        <v>34</v>
      </c>
      <c r="I872">
        <v>7</v>
      </c>
      <c r="J872" s="6">
        <v>862.66</v>
      </c>
      <c r="K872" s="6">
        <v>6038.62</v>
      </c>
      <c r="L872" t="s">
        <v>30</v>
      </c>
      <c r="M872" t="s">
        <v>31</v>
      </c>
      <c r="N872" s="3">
        <v>46186</v>
      </c>
      <c r="O872" s="6">
        <v>6038.62</v>
      </c>
    </row>
    <row r="873" spans="1:15" x14ac:dyDescent="0.3">
      <c r="A873" t="s">
        <v>923</v>
      </c>
      <c r="B873" s="3">
        <v>45971</v>
      </c>
      <c r="C873" t="s">
        <v>893</v>
      </c>
      <c r="D873" t="s">
        <v>49</v>
      </c>
      <c r="E873" t="s">
        <v>25</v>
      </c>
      <c r="F873" t="s">
        <v>51</v>
      </c>
      <c r="G873" t="s">
        <v>39</v>
      </c>
      <c r="H873" t="s">
        <v>34</v>
      </c>
      <c r="I873">
        <v>3</v>
      </c>
      <c r="J873" s="6">
        <v>509.01</v>
      </c>
      <c r="K873" s="6">
        <v>1527.03</v>
      </c>
      <c r="L873" t="s">
        <v>30</v>
      </c>
      <c r="M873" t="s">
        <v>36</v>
      </c>
      <c r="N873" s="3">
        <v>46055</v>
      </c>
      <c r="O873" s="6">
        <v>1527.03</v>
      </c>
    </row>
    <row r="874" spans="1:15" x14ac:dyDescent="0.3">
      <c r="A874" t="s">
        <v>924</v>
      </c>
      <c r="B874" s="3">
        <v>45972</v>
      </c>
      <c r="C874" t="s">
        <v>893</v>
      </c>
      <c r="D874" t="s">
        <v>24</v>
      </c>
      <c r="E874" t="s">
        <v>28</v>
      </c>
      <c r="F874" t="s">
        <v>29</v>
      </c>
      <c r="G874" t="s">
        <v>39</v>
      </c>
      <c r="H874" t="s">
        <v>34</v>
      </c>
      <c r="I874">
        <v>4</v>
      </c>
      <c r="J874" s="6">
        <v>891.84</v>
      </c>
      <c r="K874" s="6">
        <v>3567.36</v>
      </c>
      <c r="L874" t="s">
        <v>30</v>
      </c>
      <c r="M874" t="s">
        <v>31</v>
      </c>
      <c r="N874" s="3">
        <v>46082</v>
      </c>
      <c r="O874" s="6">
        <v>3567.36</v>
      </c>
    </row>
    <row r="875" spans="1:15" x14ac:dyDescent="0.3">
      <c r="A875" t="s">
        <v>925</v>
      </c>
      <c r="B875" s="3">
        <v>45973</v>
      </c>
      <c r="C875" t="s">
        <v>893</v>
      </c>
      <c r="D875" t="s">
        <v>49</v>
      </c>
      <c r="E875" t="s">
        <v>28</v>
      </c>
      <c r="F875" t="s">
        <v>19</v>
      </c>
      <c r="G875" t="s">
        <v>20</v>
      </c>
      <c r="H875" t="s">
        <v>40</v>
      </c>
      <c r="I875">
        <v>8</v>
      </c>
      <c r="J875" s="6">
        <v>489.32</v>
      </c>
      <c r="K875" s="6">
        <v>3914.56</v>
      </c>
      <c r="L875" t="s">
        <v>22</v>
      </c>
      <c r="M875" t="s">
        <v>22</v>
      </c>
      <c r="N875" s="3">
        <v>46203</v>
      </c>
      <c r="O875" s="6">
        <v>3914.56</v>
      </c>
    </row>
    <row r="876" spans="1:15" x14ac:dyDescent="0.3">
      <c r="A876" t="s">
        <v>926</v>
      </c>
      <c r="B876" s="3">
        <v>45973</v>
      </c>
      <c r="C876" t="s">
        <v>893</v>
      </c>
      <c r="D876" t="s">
        <v>49</v>
      </c>
      <c r="E876" t="s">
        <v>25</v>
      </c>
      <c r="F876" t="s">
        <v>19</v>
      </c>
      <c r="G876" t="s">
        <v>39</v>
      </c>
      <c r="H876" t="s">
        <v>21</v>
      </c>
      <c r="I876">
        <v>4</v>
      </c>
      <c r="J876" s="6">
        <v>530.88</v>
      </c>
      <c r="K876" s="6">
        <v>2123.52</v>
      </c>
      <c r="L876" t="s">
        <v>30</v>
      </c>
      <c r="M876" t="s">
        <v>43</v>
      </c>
      <c r="N876" s="3">
        <v>46081</v>
      </c>
      <c r="O876" s="6">
        <v>2123.52</v>
      </c>
    </row>
    <row r="877" spans="1:15" x14ac:dyDescent="0.3">
      <c r="A877" t="s">
        <v>927</v>
      </c>
      <c r="B877" s="3">
        <v>45974</v>
      </c>
      <c r="C877" t="s">
        <v>893</v>
      </c>
      <c r="D877" t="s">
        <v>24</v>
      </c>
      <c r="E877" t="s">
        <v>18</v>
      </c>
      <c r="F877" t="s">
        <v>38</v>
      </c>
      <c r="G877" t="s">
        <v>39</v>
      </c>
      <c r="H877" t="s">
        <v>34</v>
      </c>
      <c r="I877">
        <v>8</v>
      </c>
      <c r="J877" s="6">
        <v>932.77</v>
      </c>
      <c r="K877" s="6">
        <v>7462.16</v>
      </c>
      <c r="L877" t="s">
        <v>22</v>
      </c>
      <c r="M877" t="s">
        <v>22</v>
      </c>
      <c r="N877" s="3">
        <v>46203</v>
      </c>
      <c r="O877" s="6">
        <v>7462.16</v>
      </c>
    </row>
    <row r="878" spans="1:15" x14ac:dyDescent="0.3">
      <c r="A878" t="s">
        <v>928</v>
      </c>
      <c r="B878" s="3">
        <v>45974</v>
      </c>
      <c r="C878" t="s">
        <v>893</v>
      </c>
      <c r="D878" t="s">
        <v>49</v>
      </c>
      <c r="E878" t="s">
        <v>18</v>
      </c>
      <c r="F878" t="s">
        <v>38</v>
      </c>
      <c r="G878" t="s">
        <v>39</v>
      </c>
      <c r="H878" t="s">
        <v>21</v>
      </c>
      <c r="I878">
        <v>8</v>
      </c>
      <c r="J878" s="6">
        <v>464.71</v>
      </c>
      <c r="K878" s="6">
        <v>3717.68</v>
      </c>
      <c r="L878" t="s">
        <v>22</v>
      </c>
      <c r="M878" t="s">
        <v>22</v>
      </c>
      <c r="N878" s="3">
        <v>46203</v>
      </c>
      <c r="O878" s="6">
        <v>3717.68</v>
      </c>
    </row>
    <row r="879" spans="1:15" x14ac:dyDescent="0.3">
      <c r="A879" t="s">
        <v>929</v>
      </c>
      <c r="B879" s="3">
        <v>45976</v>
      </c>
      <c r="C879" t="s">
        <v>893</v>
      </c>
      <c r="D879" t="s">
        <v>24</v>
      </c>
      <c r="E879" t="s">
        <v>25</v>
      </c>
      <c r="F879" t="s">
        <v>38</v>
      </c>
      <c r="G879" t="s">
        <v>39</v>
      </c>
      <c r="H879" t="s">
        <v>21</v>
      </c>
      <c r="I879">
        <v>5</v>
      </c>
      <c r="J879" s="6">
        <v>870.45</v>
      </c>
      <c r="K879" s="6">
        <v>4352.25</v>
      </c>
      <c r="L879" t="s">
        <v>30</v>
      </c>
      <c r="M879" t="s">
        <v>36</v>
      </c>
      <c r="N879" s="3">
        <v>46129</v>
      </c>
      <c r="O879" s="6">
        <v>4352.25</v>
      </c>
    </row>
    <row r="880" spans="1:15" x14ac:dyDescent="0.3">
      <c r="A880" t="s">
        <v>930</v>
      </c>
      <c r="B880" s="3">
        <v>45977</v>
      </c>
      <c r="C880" t="s">
        <v>893</v>
      </c>
      <c r="D880" t="s">
        <v>49</v>
      </c>
      <c r="E880" t="s">
        <v>28</v>
      </c>
      <c r="F880" t="s">
        <v>33</v>
      </c>
      <c r="G880" t="s">
        <v>26</v>
      </c>
      <c r="H880" t="s">
        <v>40</v>
      </c>
      <c r="I880">
        <v>5</v>
      </c>
      <c r="J880" s="6">
        <v>506.03</v>
      </c>
      <c r="K880" s="6">
        <v>2530.15</v>
      </c>
      <c r="L880" t="s">
        <v>30</v>
      </c>
      <c r="M880" t="s">
        <v>43</v>
      </c>
      <c r="N880" s="3">
        <v>46122</v>
      </c>
      <c r="O880" s="6">
        <v>2530.15</v>
      </c>
    </row>
    <row r="881" spans="1:15" x14ac:dyDescent="0.3">
      <c r="A881" t="s">
        <v>931</v>
      </c>
      <c r="B881" s="3">
        <v>45977</v>
      </c>
      <c r="C881" t="s">
        <v>893</v>
      </c>
      <c r="D881" t="s">
        <v>17</v>
      </c>
      <c r="E881" t="s">
        <v>25</v>
      </c>
      <c r="F881" t="s">
        <v>33</v>
      </c>
      <c r="G881" t="s">
        <v>20</v>
      </c>
      <c r="H881" t="s">
        <v>40</v>
      </c>
      <c r="I881">
        <v>6</v>
      </c>
      <c r="J881" s="6">
        <v>1582.09</v>
      </c>
      <c r="K881" s="6">
        <v>9492.5400000000009</v>
      </c>
      <c r="L881" t="s">
        <v>30</v>
      </c>
      <c r="M881" t="s">
        <v>31</v>
      </c>
      <c r="N881" s="3">
        <v>46152</v>
      </c>
      <c r="O881" s="6">
        <v>9492.5400000000009</v>
      </c>
    </row>
    <row r="882" spans="1:15" x14ac:dyDescent="0.3">
      <c r="A882" t="s">
        <v>932</v>
      </c>
      <c r="B882" s="3">
        <v>45978</v>
      </c>
      <c r="C882" t="s">
        <v>893</v>
      </c>
      <c r="D882" t="s">
        <v>17</v>
      </c>
      <c r="E882" t="s">
        <v>25</v>
      </c>
      <c r="F882" t="s">
        <v>51</v>
      </c>
      <c r="G882" t="s">
        <v>20</v>
      </c>
      <c r="H882" t="s">
        <v>21</v>
      </c>
      <c r="I882">
        <v>7</v>
      </c>
      <c r="J882" s="6">
        <v>1602.72</v>
      </c>
      <c r="K882" s="6">
        <v>11219.04</v>
      </c>
      <c r="L882" t="s">
        <v>22</v>
      </c>
      <c r="M882" t="s">
        <v>22</v>
      </c>
      <c r="N882" s="3">
        <v>46203</v>
      </c>
      <c r="O882" s="6">
        <v>11219.04</v>
      </c>
    </row>
    <row r="883" spans="1:15" x14ac:dyDescent="0.3">
      <c r="A883" t="s">
        <v>933</v>
      </c>
      <c r="B883" s="3">
        <v>45978</v>
      </c>
      <c r="C883" t="s">
        <v>893</v>
      </c>
      <c r="D883" t="s">
        <v>24</v>
      </c>
      <c r="E883" t="s">
        <v>28</v>
      </c>
      <c r="F883" t="s">
        <v>19</v>
      </c>
      <c r="G883" t="s">
        <v>39</v>
      </c>
      <c r="H883" t="s">
        <v>45</v>
      </c>
      <c r="I883">
        <v>7</v>
      </c>
      <c r="J883" s="6">
        <v>947.5</v>
      </c>
      <c r="K883" s="6">
        <v>6632.5</v>
      </c>
      <c r="L883" t="s">
        <v>22</v>
      </c>
      <c r="M883" t="s">
        <v>22</v>
      </c>
      <c r="N883" s="3">
        <v>46203</v>
      </c>
      <c r="O883" s="6">
        <v>6632.5</v>
      </c>
    </row>
    <row r="884" spans="1:15" x14ac:dyDescent="0.3">
      <c r="A884" t="s">
        <v>934</v>
      </c>
      <c r="B884" s="3">
        <v>45979</v>
      </c>
      <c r="C884" t="s">
        <v>893</v>
      </c>
      <c r="D884" t="s">
        <v>24</v>
      </c>
      <c r="E884" t="s">
        <v>25</v>
      </c>
      <c r="F884" t="s">
        <v>51</v>
      </c>
      <c r="G884" t="s">
        <v>39</v>
      </c>
      <c r="H884" t="s">
        <v>40</v>
      </c>
      <c r="I884">
        <v>7</v>
      </c>
      <c r="J884" s="6">
        <v>837.22</v>
      </c>
      <c r="K884" s="6">
        <v>5860.54</v>
      </c>
      <c r="L884" t="s">
        <v>22</v>
      </c>
      <c r="M884" t="s">
        <v>22</v>
      </c>
      <c r="N884" s="3">
        <v>46203</v>
      </c>
      <c r="O884" s="6">
        <v>5860.54</v>
      </c>
    </row>
    <row r="885" spans="1:15" x14ac:dyDescent="0.3">
      <c r="A885" t="s">
        <v>935</v>
      </c>
      <c r="B885" s="3">
        <v>45980</v>
      </c>
      <c r="C885" t="s">
        <v>893</v>
      </c>
      <c r="D885" t="s">
        <v>49</v>
      </c>
      <c r="E885" t="s">
        <v>50</v>
      </c>
      <c r="F885" t="s">
        <v>51</v>
      </c>
      <c r="G885" t="s">
        <v>39</v>
      </c>
      <c r="H885" t="s">
        <v>21</v>
      </c>
      <c r="I885">
        <v>7</v>
      </c>
      <c r="J885" s="6">
        <v>501.46</v>
      </c>
      <c r="K885" s="6">
        <v>3510.22</v>
      </c>
      <c r="L885" t="s">
        <v>22</v>
      </c>
      <c r="M885" t="s">
        <v>22</v>
      </c>
      <c r="N885" s="3">
        <v>46203</v>
      </c>
      <c r="O885" s="6">
        <v>3510.22</v>
      </c>
    </row>
    <row r="886" spans="1:15" x14ac:dyDescent="0.3">
      <c r="A886" t="s">
        <v>936</v>
      </c>
      <c r="B886" s="3">
        <v>45981</v>
      </c>
      <c r="C886" t="s">
        <v>893</v>
      </c>
      <c r="D886" t="s">
        <v>24</v>
      </c>
      <c r="E886" t="s">
        <v>50</v>
      </c>
      <c r="F886" t="s">
        <v>33</v>
      </c>
      <c r="G886" t="s">
        <v>26</v>
      </c>
      <c r="H886" t="s">
        <v>40</v>
      </c>
      <c r="I886">
        <v>7</v>
      </c>
      <c r="J886" s="6">
        <v>838.88</v>
      </c>
      <c r="K886" s="6">
        <v>5872.16</v>
      </c>
      <c r="L886" t="s">
        <v>22</v>
      </c>
      <c r="M886" t="s">
        <v>22</v>
      </c>
      <c r="N886" s="3">
        <v>46203</v>
      </c>
      <c r="O886" s="6">
        <v>5872.16</v>
      </c>
    </row>
    <row r="887" spans="1:15" x14ac:dyDescent="0.3">
      <c r="A887" t="s">
        <v>937</v>
      </c>
      <c r="B887" s="3">
        <v>45982</v>
      </c>
      <c r="C887" t="s">
        <v>893</v>
      </c>
      <c r="D887" t="s">
        <v>49</v>
      </c>
      <c r="E887" t="s">
        <v>28</v>
      </c>
      <c r="F887" t="s">
        <v>29</v>
      </c>
      <c r="G887" t="s">
        <v>39</v>
      </c>
      <c r="H887" t="s">
        <v>45</v>
      </c>
      <c r="I887">
        <v>7</v>
      </c>
      <c r="J887" s="6">
        <v>482.28</v>
      </c>
      <c r="K887" s="6">
        <v>3375.96</v>
      </c>
      <c r="L887" t="s">
        <v>22</v>
      </c>
      <c r="M887" t="s">
        <v>22</v>
      </c>
      <c r="N887" s="3">
        <v>46203</v>
      </c>
      <c r="O887" s="6">
        <v>3375.96</v>
      </c>
    </row>
    <row r="888" spans="1:15" x14ac:dyDescent="0.3">
      <c r="A888" t="s">
        <v>938</v>
      </c>
      <c r="B888" s="3">
        <v>45982</v>
      </c>
      <c r="C888" t="s">
        <v>893</v>
      </c>
      <c r="D888" t="s">
        <v>49</v>
      </c>
      <c r="E888" t="s">
        <v>25</v>
      </c>
      <c r="F888" t="s">
        <v>51</v>
      </c>
      <c r="G888" t="s">
        <v>20</v>
      </c>
      <c r="H888" t="s">
        <v>40</v>
      </c>
      <c r="I888">
        <v>7</v>
      </c>
      <c r="J888" s="6">
        <v>532.89</v>
      </c>
      <c r="K888" s="6">
        <v>3730.23</v>
      </c>
      <c r="L888" t="s">
        <v>22</v>
      </c>
      <c r="M888" t="s">
        <v>22</v>
      </c>
      <c r="N888" s="3">
        <v>46203</v>
      </c>
      <c r="O888" s="6">
        <v>3730.23</v>
      </c>
    </row>
    <row r="889" spans="1:15" x14ac:dyDescent="0.3">
      <c r="A889" t="s">
        <v>939</v>
      </c>
      <c r="B889" s="3">
        <v>45983</v>
      </c>
      <c r="C889" t="s">
        <v>893</v>
      </c>
      <c r="D889" t="s">
        <v>49</v>
      </c>
      <c r="E889" t="s">
        <v>50</v>
      </c>
      <c r="F889" t="s">
        <v>33</v>
      </c>
      <c r="G889" t="s">
        <v>26</v>
      </c>
      <c r="H889" t="s">
        <v>21</v>
      </c>
      <c r="I889">
        <v>7</v>
      </c>
      <c r="J889" s="6">
        <v>533.21</v>
      </c>
      <c r="K889" s="6">
        <v>3732.47</v>
      </c>
      <c r="L889" t="s">
        <v>22</v>
      </c>
      <c r="M889" t="s">
        <v>22</v>
      </c>
      <c r="N889" s="3">
        <v>46203</v>
      </c>
      <c r="O889" s="6">
        <v>3732.47</v>
      </c>
    </row>
    <row r="890" spans="1:15" x14ac:dyDescent="0.3">
      <c r="A890" t="s">
        <v>940</v>
      </c>
      <c r="B890" s="3">
        <v>45983</v>
      </c>
      <c r="C890" t="s">
        <v>893</v>
      </c>
      <c r="D890" t="s">
        <v>24</v>
      </c>
      <c r="E890" t="s">
        <v>50</v>
      </c>
      <c r="F890" t="s">
        <v>19</v>
      </c>
      <c r="G890" t="s">
        <v>39</v>
      </c>
      <c r="H890" t="s">
        <v>45</v>
      </c>
      <c r="I890">
        <v>7</v>
      </c>
      <c r="J890" s="6">
        <v>814.61</v>
      </c>
      <c r="K890" s="6">
        <v>5702.27</v>
      </c>
      <c r="L890" t="s">
        <v>22</v>
      </c>
      <c r="M890" t="s">
        <v>22</v>
      </c>
      <c r="N890" s="3">
        <v>46203</v>
      </c>
      <c r="O890" s="6">
        <v>5702.27</v>
      </c>
    </row>
    <row r="891" spans="1:15" x14ac:dyDescent="0.3">
      <c r="A891" t="s">
        <v>941</v>
      </c>
      <c r="B891" s="3">
        <v>45983</v>
      </c>
      <c r="C891" t="s">
        <v>893</v>
      </c>
      <c r="D891" t="s">
        <v>49</v>
      </c>
      <c r="E891" t="s">
        <v>18</v>
      </c>
      <c r="F891" t="s">
        <v>29</v>
      </c>
      <c r="G891" t="s">
        <v>26</v>
      </c>
      <c r="H891" t="s">
        <v>21</v>
      </c>
      <c r="I891">
        <v>7</v>
      </c>
      <c r="J891" s="6">
        <v>511.14</v>
      </c>
      <c r="K891" s="6">
        <v>3577.98</v>
      </c>
      <c r="L891" t="s">
        <v>22</v>
      </c>
      <c r="M891" t="s">
        <v>22</v>
      </c>
      <c r="N891" s="3">
        <v>46203</v>
      </c>
      <c r="O891" s="6">
        <v>3577.98</v>
      </c>
    </row>
    <row r="892" spans="1:15" x14ac:dyDescent="0.3">
      <c r="A892" t="s">
        <v>942</v>
      </c>
      <c r="B892" s="3">
        <v>45983</v>
      </c>
      <c r="C892" t="s">
        <v>893</v>
      </c>
      <c r="D892" t="s">
        <v>17</v>
      </c>
      <c r="E892" t="s">
        <v>25</v>
      </c>
      <c r="F892" t="s">
        <v>29</v>
      </c>
      <c r="G892" t="s">
        <v>39</v>
      </c>
      <c r="H892" t="s">
        <v>40</v>
      </c>
      <c r="I892">
        <v>7</v>
      </c>
      <c r="J892" s="6">
        <v>1503.11</v>
      </c>
      <c r="K892" s="6">
        <v>10521.77</v>
      </c>
      <c r="L892" t="s">
        <v>22</v>
      </c>
      <c r="M892" t="s">
        <v>22</v>
      </c>
      <c r="N892" s="3">
        <v>46203</v>
      </c>
      <c r="O892" s="6">
        <v>10521.77</v>
      </c>
    </row>
    <row r="893" spans="1:15" x14ac:dyDescent="0.3">
      <c r="A893" t="s">
        <v>943</v>
      </c>
      <c r="B893" s="3">
        <v>45984</v>
      </c>
      <c r="C893" t="s">
        <v>893</v>
      </c>
      <c r="D893" t="s">
        <v>24</v>
      </c>
      <c r="E893" t="s">
        <v>25</v>
      </c>
      <c r="F893" t="s">
        <v>19</v>
      </c>
      <c r="G893" t="s">
        <v>39</v>
      </c>
      <c r="H893" t="s">
        <v>21</v>
      </c>
      <c r="I893">
        <v>4</v>
      </c>
      <c r="J893" s="6">
        <v>821.45</v>
      </c>
      <c r="K893" s="6">
        <v>3285.8</v>
      </c>
      <c r="L893" t="s">
        <v>30</v>
      </c>
      <c r="M893" t="s">
        <v>31</v>
      </c>
      <c r="N893" s="3">
        <v>46095</v>
      </c>
      <c r="O893" s="6">
        <v>3285.8</v>
      </c>
    </row>
    <row r="894" spans="1:15" x14ac:dyDescent="0.3">
      <c r="A894" t="s">
        <v>944</v>
      </c>
      <c r="B894" s="3">
        <v>45984</v>
      </c>
      <c r="C894" t="s">
        <v>893</v>
      </c>
      <c r="D894" t="s">
        <v>24</v>
      </c>
      <c r="E894" t="s">
        <v>28</v>
      </c>
      <c r="F894" t="s">
        <v>33</v>
      </c>
      <c r="G894" t="s">
        <v>39</v>
      </c>
      <c r="H894" t="s">
        <v>34</v>
      </c>
      <c r="I894">
        <v>7</v>
      </c>
      <c r="J894" s="6">
        <v>941.15</v>
      </c>
      <c r="K894" s="6">
        <v>6588.05</v>
      </c>
      <c r="L894" t="s">
        <v>22</v>
      </c>
      <c r="M894" t="s">
        <v>22</v>
      </c>
      <c r="N894" s="3">
        <v>46203</v>
      </c>
      <c r="O894" s="6">
        <v>6588.05</v>
      </c>
    </row>
    <row r="895" spans="1:15" x14ac:dyDescent="0.3">
      <c r="A895" t="s">
        <v>945</v>
      </c>
      <c r="B895" s="3">
        <v>45985</v>
      </c>
      <c r="C895" t="s">
        <v>893</v>
      </c>
      <c r="D895" t="s">
        <v>49</v>
      </c>
      <c r="E895" t="s">
        <v>28</v>
      </c>
      <c r="F895" t="s">
        <v>29</v>
      </c>
      <c r="G895" t="s">
        <v>20</v>
      </c>
      <c r="H895" t="s">
        <v>40</v>
      </c>
      <c r="I895">
        <v>7</v>
      </c>
      <c r="J895" s="6">
        <v>505.58</v>
      </c>
      <c r="K895" s="6">
        <v>3539.06</v>
      </c>
      <c r="L895" t="s">
        <v>22</v>
      </c>
      <c r="M895" t="s">
        <v>22</v>
      </c>
      <c r="N895" s="3">
        <v>46203</v>
      </c>
      <c r="O895" s="6">
        <v>3539.06</v>
      </c>
    </row>
    <row r="896" spans="1:15" x14ac:dyDescent="0.3">
      <c r="A896" t="s">
        <v>946</v>
      </c>
      <c r="B896" s="3">
        <v>45985</v>
      </c>
      <c r="C896" t="s">
        <v>893</v>
      </c>
      <c r="D896" t="s">
        <v>49</v>
      </c>
      <c r="E896" t="s">
        <v>18</v>
      </c>
      <c r="F896" t="s">
        <v>29</v>
      </c>
      <c r="G896" t="s">
        <v>39</v>
      </c>
      <c r="H896" t="s">
        <v>21</v>
      </c>
      <c r="I896">
        <v>7</v>
      </c>
      <c r="J896" s="6">
        <v>505.97</v>
      </c>
      <c r="K896" s="6">
        <v>3541.79</v>
      </c>
      <c r="L896" t="s">
        <v>22</v>
      </c>
      <c r="M896" t="s">
        <v>22</v>
      </c>
      <c r="N896" s="3">
        <v>46203</v>
      </c>
      <c r="O896" s="6">
        <v>3541.79</v>
      </c>
    </row>
    <row r="897" spans="1:15" x14ac:dyDescent="0.3">
      <c r="A897" t="s">
        <v>947</v>
      </c>
      <c r="B897" s="3">
        <v>45985</v>
      </c>
      <c r="C897" t="s">
        <v>893</v>
      </c>
      <c r="D897" t="s">
        <v>24</v>
      </c>
      <c r="E897" t="s">
        <v>25</v>
      </c>
      <c r="F897" t="s">
        <v>38</v>
      </c>
      <c r="G897" t="s">
        <v>20</v>
      </c>
      <c r="H897" t="s">
        <v>45</v>
      </c>
      <c r="I897">
        <v>7</v>
      </c>
      <c r="J897" s="6">
        <v>913.21</v>
      </c>
      <c r="K897" s="6">
        <v>6392.47</v>
      </c>
      <c r="L897" t="s">
        <v>22</v>
      </c>
      <c r="M897" t="s">
        <v>22</v>
      </c>
      <c r="N897" s="3">
        <v>46203</v>
      </c>
      <c r="O897" s="6">
        <v>6392.47</v>
      </c>
    </row>
    <row r="898" spans="1:15" x14ac:dyDescent="0.3">
      <c r="A898" t="s">
        <v>948</v>
      </c>
      <c r="B898" s="3">
        <v>45985</v>
      </c>
      <c r="C898" t="s">
        <v>893</v>
      </c>
      <c r="D898" t="s">
        <v>24</v>
      </c>
      <c r="E898" t="s">
        <v>18</v>
      </c>
      <c r="F898" t="s">
        <v>19</v>
      </c>
      <c r="G898" t="s">
        <v>39</v>
      </c>
      <c r="H898" t="s">
        <v>40</v>
      </c>
      <c r="I898">
        <v>7</v>
      </c>
      <c r="J898" s="6">
        <v>910.57</v>
      </c>
      <c r="K898" s="6">
        <v>6373.99</v>
      </c>
      <c r="L898" t="s">
        <v>22</v>
      </c>
      <c r="M898" t="s">
        <v>22</v>
      </c>
      <c r="N898" s="3">
        <v>46203</v>
      </c>
      <c r="O898" s="6">
        <v>6373.99</v>
      </c>
    </row>
    <row r="899" spans="1:15" x14ac:dyDescent="0.3">
      <c r="A899" t="s">
        <v>949</v>
      </c>
      <c r="B899" s="3">
        <v>45986</v>
      </c>
      <c r="C899" t="s">
        <v>893</v>
      </c>
      <c r="D899" t="s">
        <v>49</v>
      </c>
      <c r="E899" t="s">
        <v>50</v>
      </c>
      <c r="F899" t="s">
        <v>38</v>
      </c>
      <c r="G899" t="s">
        <v>39</v>
      </c>
      <c r="H899" t="s">
        <v>21</v>
      </c>
      <c r="I899">
        <v>5</v>
      </c>
      <c r="J899" s="6">
        <v>524.39</v>
      </c>
      <c r="K899" s="6">
        <v>2621.95</v>
      </c>
      <c r="L899" t="s">
        <v>30</v>
      </c>
      <c r="M899" t="s">
        <v>36</v>
      </c>
      <c r="N899" s="3">
        <v>46130</v>
      </c>
      <c r="O899" s="6">
        <v>2621.95</v>
      </c>
    </row>
    <row r="900" spans="1:15" x14ac:dyDescent="0.3">
      <c r="A900" t="s">
        <v>950</v>
      </c>
      <c r="B900" s="3">
        <v>45987</v>
      </c>
      <c r="C900" t="s">
        <v>893</v>
      </c>
      <c r="D900" t="s">
        <v>24</v>
      </c>
      <c r="E900" t="s">
        <v>50</v>
      </c>
      <c r="F900" t="s">
        <v>51</v>
      </c>
      <c r="G900" t="s">
        <v>20</v>
      </c>
      <c r="H900" t="s">
        <v>34</v>
      </c>
      <c r="I900">
        <v>7</v>
      </c>
      <c r="J900" s="6">
        <v>830.04</v>
      </c>
      <c r="K900" s="6">
        <v>5810.28</v>
      </c>
      <c r="L900" t="s">
        <v>22</v>
      </c>
      <c r="M900" t="s">
        <v>22</v>
      </c>
      <c r="N900" s="3">
        <v>46203</v>
      </c>
      <c r="O900" s="6">
        <v>5810.28</v>
      </c>
    </row>
    <row r="901" spans="1:15" x14ac:dyDescent="0.3">
      <c r="A901" t="s">
        <v>951</v>
      </c>
      <c r="B901" s="3">
        <v>45987</v>
      </c>
      <c r="C901" t="s">
        <v>893</v>
      </c>
      <c r="D901" t="s">
        <v>17</v>
      </c>
      <c r="E901" t="s">
        <v>18</v>
      </c>
      <c r="F901" t="s">
        <v>19</v>
      </c>
      <c r="G901" t="s">
        <v>39</v>
      </c>
      <c r="H901" t="s">
        <v>21</v>
      </c>
      <c r="I901">
        <v>7</v>
      </c>
      <c r="J901" s="6">
        <v>1379.18</v>
      </c>
      <c r="K901" s="6">
        <v>9654.26</v>
      </c>
      <c r="L901" t="s">
        <v>22</v>
      </c>
      <c r="M901" t="s">
        <v>22</v>
      </c>
      <c r="N901" s="3">
        <v>46203</v>
      </c>
      <c r="O901" s="6">
        <v>9654.26</v>
      </c>
    </row>
    <row r="902" spans="1:15" x14ac:dyDescent="0.3">
      <c r="A902" t="s">
        <v>952</v>
      </c>
      <c r="B902" s="3">
        <v>45988</v>
      </c>
      <c r="C902" t="s">
        <v>893</v>
      </c>
      <c r="D902" t="s">
        <v>24</v>
      </c>
      <c r="E902" t="s">
        <v>25</v>
      </c>
      <c r="F902" t="s">
        <v>33</v>
      </c>
      <c r="G902" t="s">
        <v>20</v>
      </c>
      <c r="H902" t="s">
        <v>34</v>
      </c>
      <c r="I902">
        <v>7</v>
      </c>
      <c r="J902" s="6">
        <v>928.18</v>
      </c>
      <c r="K902" s="6">
        <v>6497.26</v>
      </c>
      <c r="L902" t="s">
        <v>22</v>
      </c>
      <c r="M902" t="s">
        <v>22</v>
      </c>
      <c r="N902" s="3">
        <v>46203</v>
      </c>
      <c r="O902" s="6">
        <v>6497.26</v>
      </c>
    </row>
    <row r="903" spans="1:15" x14ac:dyDescent="0.3">
      <c r="A903" t="s">
        <v>953</v>
      </c>
      <c r="B903" s="3">
        <v>45988</v>
      </c>
      <c r="C903" t="s">
        <v>893</v>
      </c>
      <c r="D903" t="s">
        <v>49</v>
      </c>
      <c r="E903" t="s">
        <v>25</v>
      </c>
      <c r="F903" t="s">
        <v>29</v>
      </c>
      <c r="G903" t="s">
        <v>26</v>
      </c>
      <c r="H903" t="s">
        <v>21</v>
      </c>
      <c r="I903">
        <v>7</v>
      </c>
      <c r="J903" s="6">
        <v>495.24</v>
      </c>
      <c r="K903" s="6">
        <v>3466.68</v>
      </c>
      <c r="L903" t="s">
        <v>22</v>
      </c>
      <c r="M903" t="s">
        <v>22</v>
      </c>
      <c r="N903" s="3">
        <v>46203</v>
      </c>
      <c r="O903" s="6">
        <v>3466.68</v>
      </c>
    </row>
    <row r="904" spans="1:15" x14ac:dyDescent="0.3">
      <c r="A904" t="s">
        <v>954</v>
      </c>
      <c r="B904" s="3">
        <v>45989</v>
      </c>
      <c r="C904" t="s">
        <v>893</v>
      </c>
      <c r="D904" t="s">
        <v>49</v>
      </c>
      <c r="E904" t="s">
        <v>50</v>
      </c>
      <c r="F904" t="s">
        <v>19</v>
      </c>
      <c r="G904" t="s">
        <v>39</v>
      </c>
      <c r="H904" t="s">
        <v>40</v>
      </c>
      <c r="I904">
        <v>7</v>
      </c>
      <c r="J904" s="6">
        <v>458.8</v>
      </c>
      <c r="K904" s="6">
        <v>3211.6</v>
      </c>
      <c r="L904" t="s">
        <v>22</v>
      </c>
      <c r="M904" t="s">
        <v>22</v>
      </c>
      <c r="N904" s="3">
        <v>46203</v>
      </c>
      <c r="O904" s="6">
        <v>3211.6</v>
      </c>
    </row>
    <row r="905" spans="1:15" x14ac:dyDescent="0.3">
      <c r="A905" t="s">
        <v>955</v>
      </c>
      <c r="B905" s="3">
        <v>45989</v>
      </c>
      <c r="C905" t="s">
        <v>893</v>
      </c>
      <c r="D905" t="s">
        <v>24</v>
      </c>
      <c r="E905" t="s">
        <v>18</v>
      </c>
      <c r="F905" t="s">
        <v>33</v>
      </c>
      <c r="G905" t="s">
        <v>39</v>
      </c>
      <c r="H905" t="s">
        <v>45</v>
      </c>
      <c r="I905">
        <v>7</v>
      </c>
      <c r="J905" s="6">
        <v>967.47</v>
      </c>
      <c r="K905" s="6">
        <v>6772.29</v>
      </c>
      <c r="L905" t="s">
        <v>22</v>
      </c>
      <c r="M905" t="s">
        <v>22</v>
      </c>
      <c r="N905" s="3">
        <v>46203</v>
      </c>
      <c r="O905" s="6">
        <v>6772.29</v>
      </c>
    </row>
    <row r="906" spans="1:15" x14ac:dyDescent="0.3">
      <c r="A906" t="s">
        <v>956</v>
      </c>
      <c r="B906" s="3">
        <v>45990</v>
      </c>
      <c r="C906" t="s">
        <v>893</v>
      </c>
      <c r="D906" t="s">
        <v>24</v>
      </c>
      <c r="E906" t="s">
        <v>25</v>
      </c>
      <c r="F906" t="s">
        <v>19</v>
      </c>
      <c r="G906" t="s">
        <v>20</v>
      </c>
      <c r="H906" t="s">
        <v>21</v>
      </c>
      <c r="I906">
        <v>7</v>
      </c>
      <c r="J906" s="6">
        <v>937.44</v>
      </c>
      <c r="K906" s="6">
        <v>6562.08</v>
      </c>
      <c r="L906" t="s">
        <v>22</v>
      </c>
      <c r="M906" t="s">
        <v>22</v>
      </c>
      <c r="N906" s="3">
        <v>46203</v>
      </c>
      <c r="O906" s="6">
        <v>6562.08</v>
      </c>
    </row>
    <row r="907" spans="1:15" x14ac:dyDescent="0.3">
      <c r="A907" t="s">
        <v>957</v>
      </c>
      <c r="B907" s="3">
        <v>45991</v>
      </c>
      <c r="C907" t="s">
        <v>893</v>
      </c>
      <c r="D907" t="s">
        <v>49</v>
      </c>
      <c r="E907" t="s">
        <v>25</v>
      </c>
      <c r="F907" t="s">
        <v>33</v>
      </c>
      <c r="G907" t="s">
        <v>20</v>
      </c>
      <c r="H907" t="s">
        <v>34</v>
      </c>
      <c r="I907">
        <v>7</v>
      </c>
      <c r="J907" s="6">
        <v>532.73</v>
      </c>
      <c r="K907" s="6">
        <v>3729.11</v>
      </c>
      <c r="L907" t="s">
        <v>22</v>
      </c>
      <c r="M907" t="s">
        <v>22</v>
      </c>
      <c r="N907" s="3">
        <v>46203</v>
      </c>
      <c r="O907" s="6">
        <v>3729.11</v>
      </c>
    </row>
    <row r="908" spans="1:15" x14ac:dyDescent="0.3">
      <c r="A908" t="s">
        <v>958</v>
      </c>
      <c r="B908" s="3">
        <v>45992</v>
      </c>
      <c r="C908" t="s">
        <v>959</v>
      </c>
      <c r="D908" t="s">
        <v>24</v>
      </c>
      <c r="E908" t="s">
        <v>28</v>
      </c>
      <c r="F908" t="s">
        <v>19</v>
      </c>
      <c r="G908" t="s">
        <v>39</v>
      </c>
      <c r="H908" t="s">
        <v>40</v>
      </c>
      <c r="I908">
        <v>7</v>
      </c>
      <c r="J908" s="6">
        <v>975.2</v>
      </c>
      <c r="K908" s="6">
        <v>6826.4</v>
      </c>
      <c r="L908" t="s">
        <v>22</v>
      </c>
      <c r="M908" t="s">
        <v>22</v>
      </c>
      <c r="N908" s="3">
        <v>46203</v>
      </c>
      <c r="O908" s="6">
        <v>6826.4</v>
      </c>
    </row>
    <row r="909" spans="1:15" x14ac:dyDescent="0.3">
      <c r="A909" t="s">
        <v>960</v>
      </c>
      <c r="B909" s="3">
        <v>45992</v>
      </c>
      <c r="C909" t="s">
        <v>959</v>
      </c>
      <c r="D909" t="s">
        <v>24</v>
      </c>
      <c r="E909" t="s">
        <v>28</v>
      </c>
      <c r="F909" t="s">
        <v>29</v>
      </c>
      <c r="G909" t="s">
        <v>39</v>
      </c>
      <c r="H909" t="s">
        <v>40</v>
      </c>
      <c r="I909">
        <v>7</v>
      </c>
      <c r="J909" s="6">
        <v>837.28</v>
      </c>
      <c r="K909" s="6">
        <v>5860.96</v>
      </c>
      <c r="L909" t="s">
        <v>22</v>
      </c>
      <c r="M909" t="s">
        <v>22</v>
      </c>
      <c r="N909" s="3">
        <v>46203</v>
      </c>
      <c r="O909" s="6">
        <v>5860.96</v>
      </c>
    </row>
    <row r="910" spans="1:15" x14ac:dyDescent="0.3">
      <c r="A910" t="s">
        <v>961</v>
      </c>
      <c r="B910" s="3">
        <v>45992</v>
      </c>
      <c r="C910" t="s">
        <v>959</v>
      </c>
      <c r="D910" t="s">
        <v>24</v>
      </c>
      <c r="E910" t="s">
        <v>28</v>
      </c>
      <c r="F910" t="s">
        <v>51</v>
      </c>
      <c r="G910" t="s">
        <v>39</v>
      </c>
      <c r="H910" t="s">
        <v>34</v>
      </c>
      <c r="I910">
        <v>5</v>
      </c>
      <c r="J910" s="6">
        <v>840.38</v>
      </c>
      <c r="K910" s="6">
        <v>4201.8999999999996</v>
      </c>
      <c r="L910" t="s">
        <v>30</v>
      </c>
      <c r="M910" t="s">
        <v>43</v>
      </c>
      <c r="N910" s="3">
        <v>46146</v>
      </c>
      <c r="O910" s="6">
        <v>4201.8999999999996</v>
      </c>
    </row>
    <row r="911" spans="1:15" x14ac:dyDescent="0.3">
      <c r="A911" t="s">
        <v>962</v>
      </c>
      <c r="B911" s="3">
        <v>45992</v>
      </c>
      <c r="C911" t="s">
        <v>959</v>
      </c>
      <c r="D911" t="s">
        <v>24</v>
      </c>
      <c r="E911" t="s">
        <v>25</v>
      </c>
      <c r="F911" t="s">
        <v>38</v>
      </c>
      <c r="G911" t="s">
        <v>39</v>
      </c>
      <c r="H911" t="s">
        <v>21</v>
      </c>
      <c r="I911">
        <v>7</v>
      </c>
      <c r="J911" s="6">
        <v>915.32</v>
      </c>
      <c r="K911" s="6">
        <v>6407.24</v>
      </c>
      <c r="L911" t="s">
        <v>22</v>
      </c>
      <c r="M911" t="s">
        <v>22</v>
      </c>
      <c r="N911" s="3">
        <v>46203</v>
      </c>
      <c r="O911" s="6">
        <v>6407.24</v>
      </c>
    </row>
    <row r="912" spans="1:15" x14ac:dyDescent="0.3">
      <c r="A912" t="s">
        <v>963</v>
      </c>
      <c r="B912" s="3">
        <v>45993</v>
      </c>
      <c r="C912" t="s">
        <v>959</v>
      </c>
      <c r="D912" t="s">
        <v>17</v>
      </c>
      <c r="E912" t="s">
        <v>25</v>
      </c>
      <c r="F912" t="s">
        <v>33</v>
      </c>
      <c r="G912" t="s">
        <v>39</v>
      </c>
      <c r="H912" t="s">
        <v>21</v>
      </c>
      <c r="I912">
        <v>7</v>
      </c>
      <c r="J912" s="6">
        <v>1452.74</v>
      </c>
      <c r="K912" s="6">
        <v>10169.18</v>
      </c>
      <c r="L912" t="s">
        <v>22</v>
      </c>
      <c r="M912" t="s">
        <v>22</v>
      </c>
      <c r="N912" s="3">
        <v>46203</v>
      </c>
      <c r="O912" s="6">
        <v>10169.18</v>
      </c>
    </row>
    <row r="913" spans="1:15" x14ac:dyDescent="0.3">
      <c r="A913" t="s">
        <v>964</v>
      </c>
      <c r="B913" s="3">
        <v>45993</v>
      </c>
      <c r="C913" t="s">
        <v>959</v>
      </c>
      <c r="D913" t="s">
        <v>24</v>
      </c>
      <c r="E913" t="s">
        <v>28</v>
      </c>
      <c r="F913" t="s">
        <v>29</v>
      </c>
      <c r="G913" t="s">
        <v>26</v>
      </c>
      <c r="H913" t="s">
        <v>40</v>
      </c>
      <c r="I913">
        <v>7</v>
      </c>
      <c r="J913" s="6">
        <v>980.62</v>
      </c>
      <c r="K913" s="6">
        <v>6864.34</v>
      </c>
      <c r="L913" t="s">
        <v>22</v>
      </c>
      <c r="M913" t="s">
        <v>22</v>
      </c>
      <c r="N913" s="3">
        <v>46203</v>
      </c>
      <c r="O913" s="6">
        <v>6864.34</v>
      </c>
    </row>
    <row r="914" spans="1:15" x14ac:dyDescent="0.3">
      <c r="A914" t="s">
        <v>965</v>
      </c>
      <c r="B914" s="3">
        <v>45993</v>
      </c>
      <c r="C914" t="s">
        <v>959</v>
      </c>
      <c r="D914" t="s">
        <v>49</v>
      </c>
      <c r="E914" t="s">
        <v>28</v>
      </c>
      <c r="F914" t="s">
        <v>51</v>
      </c>
      <c r="G914" t="s">
        <v>39</v>
      </c>
      <c r="H914" t="s">
        <v>21</v>
      </c>
      <c r="I914">
        <v>7</v>
      </c>
      <c r="J914" s="6">
        <v>465.25</v>
      </c>
      <c r="K914" s="6">
        <v>3256.75</v>
      </c>
      <c r="L914" t="s">
        <v>22</v>
      </c>
      <c r="M914" t="s">
        <v>22</v>
      </c>
      <c r="N914" s="3">
        <v>46203</v>
      </c>
      <c r="O914" s="6">
        <v>3256.75</v>
      </c>
    </row>
    <row r="915" spans="1:15" x14ac:dyDescent="0.3">
      <c r="A915" t="s">
        <v>966</v>
      </c>
      <c r="B915" s="3">
        <v>45993</v>
      </c>
      <c r="C915" t="s">
        <v>959</v>
      </c>
      <c r="D915" t="s">
        <v>49</v>
      </c>
      <c r="E915" t="s">
        <v>50</v>
      </c>
      <c r="F915" t="s">
        <v>33</v>
      </c>
      <c r="G915" t="s">
        <v>39</v>
      </c>
      <c r="H915" t="s">
        <v>21</v>
      </c>
      <c r="I915">
        <v>7</v>
      </c>
      <c r="J915" s="6">
        <v>473.82</v>
      </c>
      <c r="K915" s="6">
        <v>3316.74</v>
      </c>
      <c r="L915" t="s">
        <v>22</v>
      </c>
      <c r="M915" t="s">
        <v>22</v>
      </c>
      <c r="N915" s="3">
        <v>46203</v>
      </c>
      <c r="O915" s="6">
        <v>3316.74</v>
      </c>
    </row>
    <row r="916" spans="1:15" x14ac:dyDescent="0.3">
      <c r="A916" t="s">
        <v>967</v>
      </c>
      <c r="B916" s="3">
        <v>45994</v>
      </c>
      <c r="C916" t="s">
        <v>959</v>
      </c>
      <c r="D916" t="s">
        <v>24</v>
      </c>
      <c r="E916" t="s">
        <v>28</v>
      </c>
      <c r="F916" t="s">
        <v>29</v>
      </c>
      <c r="G916" t="s">
        <v>26</v>
      </c>
      <c r="H916" t="s">
        <v>21</v>
      </c>
      <c r="I916">
        <v>7</v>
      </c>
      <c r="J916" s="6">
        <v>840.35</v>
      </c>
      <c r="K916" s="6">
        <v>5882.45</v>
      </c>
      <c r="L916" t="s">
        <v>22</v>
      </c>
      <c r="M916" t="s">
        <v>22</v>
      </c>
      <c r="N916" s="3">
        <v>46203</v>
      </c>
      <c r="O916" s="6">
        <v>5882.45</v>
      </c>
    </row>
    <row r="917" spans="1:15" x14ac:dyDescent="0.3">
      <c r="A917" t="s">
        <v>968</v>
      </c>
      <c r="B917" s="3">
        <v>45994</v>
      </c>
      <c r="C917" t="s">
        <v>959</v>
      </c>
      <c r="D917" t="s">
        <v>49</v>
      </c>
      <c r="E917" t="s">
        <v>25</v>
      </c>
      <c r="F917" t="s">
        <v>19</v>
      </c>
      <c r="G917" t="s">
        <v>20</v>
      </c>
      <c r="H917" t="s">
        <v>21</v>
      </c>
      <c r="I917">
        <v>6</v>
      </c>
      <c r="J917" s="6">
        <v>530.79</v>
      </c>
      <c r="K917" s="6">
        <v>3184.74</v>
      </c>
      <c r="L917" t="s">
        <v>30</v>
      </c>
      <c r="M917" t="s">
        <v>36</v>
      </c>
      <c r="N917" s="3">
        <v>46186</v>
      </c>
      <c r="O917" s="6">
        <v>3184.74</v>
      </c>
    </row>
    <row r="918" spans="1:15" x14ac:dyDescent="0.3">
      <c r="A918" t="s">
        <v>969</v>
      </c>
      <c r="B918" s="3">
        <v>45994</v>
      </c>
      <c r="C918" t="s">
        <v>959</v>
      </c>
      <c r="D918" t="s">
        <v>49</v>
      </c>
      <c r="E918" t="s">
        <v>50</v>
      </c>
      <c r="F918" t="s">
        <v>19</v>
      </c>
      <c r="G918" t="s">
        <v>20</v>
      </c>
      <c r="H918" t="s">
        <v>45</v>
      </c>
      <c r="I918">
        <v>7</v>
      </c>
      <c r="J918" s="6">
        <v>541.86</v>
      </c>
      <c r="K918" s="6">
        <v>3793.02</v>
      </c>
      <c r="L918" t="s">
        <v>22</v>
      </c>
      <c r="M918" t="s">
        <v>22</v>
      </c>
      <c r="N918" s="3">
        <v>46203</v>
      </c>
      <c r="O918" s="6">
        <v>3793.02</v>
      </c>
    </row>
    <row r="919" spans="1:15" x14ac:dyDescent="0.3">
      <c r="A919" t="s">
        <v>970</v>
      </c>
      <c r="B919" s="3">
        <v>45995</v>
      </c>
      <c r="C919" t="s">
        <v>959</v>
      </c>
      <c r="D919" t="s">
        <v>49</v>
      </c>
      <c r="E919" t="s">
        <v>25</v>
      </c>
      <c r="F919" t="s">
        <v>38</v>
      </c>
      <c r="G919" t="s">
        <v>26</v>
      </c>
      <c r="H919" t="s">
        <v>34</v>
      </c>
      <c r="I919">
        <v>7</v>
      </c>
      <c r="J919" s="6">
        <v>494.58</v>
      </c>
      <c r="K919" s="6">
        <v>3462.06</v>
      </c>
      <c r="L919" t="s">
        <v>22</v>
      </c>
      <c r="M919" t="s">
        <v>22</v>
      </c>
      <c r="N919" s="3">
        <v>46203</v>
      </c>
      <c r="O919" s="6">
        <v>3462.06</v>
      </c>
    </row>
    <row r="920" spans="1:15" x14ac:dyDescent="0.3">
      <c r="A920" t="s">
        <v>971</v>
      </c>
      <c r="B920" s="3">
        <v>45995</v>
      </c>
      <c r="C920" t="s">
        <v>959</v>
      </c>
      <c r="D920" t="s">
        <v>17</v>
      </c>
      <c r="E920" t="s">
        <v>18</v>
      </c>
      <c r="F920" t="s">
        <v>29</v>
      </c>
      <c r="G920" t="s">
        <v>20</v>
      </c>
      <c r="H920" t="s">
        <v>40</v>
      </c>
      <c r="I920">
        <v>7</v>
      </c>
      <c r="J920" s="6">
        <v>1394.58</v>
      </c>
      <c r="K920" s="6">
        <v>9762.06</v>
      </c>
      <c r="L920" t="s">
        <v>22</v>
      </c>
      <c r="M920" t="s">
        <v>22</v>
      </c>
      <c r="N920" s="3">
        <v>46203</v>
      </c>
      <c r="O920" s="6">
        <v>9762.06</v>
      </c>
    </row>
    <row r="921" spans="1:15" x14ac:dyDescent="0.3">
      <c r="A921" t="s">
        <v>972</v>
      </c>
      <c r="B921" s="3">
        <v>45995</v>
      </c>
      <c r="C921" t="s">
        <v>959</v>
      </c>
      <c r="D921" t="s">
        <v>24</v>
      </c>
      <c r="E921" t="s">
        <v>50</v>
      </c>
      <c r="F921" t="s">
        <v>29</v>
      </c>
      <c r="G921" t="s">
        <v>20</v>
      </c>
      <c r="H921" t="s">
        <v>40</v>
      </c>
      <c r="I921">
        <v>1</v>
      </c>
      <c r="J921" s="6">
        <v>921.63</v>
      </c>
      <c r="K921" s="6">
        <v>921.63</v>
      </c>
      <c r="L921" t="s">
        <v>30</v>
      </c>
      <c r="M921" t="s">
        <v>80</v>
      </c>
      <c r="N921" s="3">
        <v>46031</v>
      </c>
      <c r="O921" s="6">
        <v>921.63</v>
      </c>
    </row>
    <row r="922" spans="1:15" x14ac:dyDescent="0.3">
      <c r="A922" t="s">
        <v>973</v>
      </c>
      <c r="B922" s="3">
        <v>45995</v>
      </c>
      <c r="C922" t="s">
        <v>959</v>
      </c>
      <c r="D922" t="s">
        <v>24</v>
      </c>
      <c r="E922" t="s">
        <v>25</v>
      </c>
      <c r="F922" t="s">
        <v>29</v>
      </c>
      <c r="G922" t="s">
        <v>26</v>
      </c>
      <c r="H922" t="s">
        <v>21</v>
      </c>
      <c r="I922">
        <v>7</v>
      </c>
      <c r="J922" s="6">
        <v>953.01</v>
      </c>
      <c r="K922" s="6">
        <v>6671.07</v>
      </c>
      <c r="L922" t="s">
        <v>22</v>
      </c>
      <c r="M922" t="s">
        <v>22</v>
      </c>
      <c r="N922" s="3">
        <v>46203</v>
      </c>
      <c r="O922" s="6">
        <v>6671.07</v>
      </c>
    </row>
    <row r="923" spans="1:15" x14ac:dyDescent="0.3">
      <c r="A923" t="s">
        <v>974</v>
      </c>
      <c r="B923" s="3">
        <v>45995</v>
      </c>
      <c r="C923" t="s">
        <v>959</v>
      </c>
      <c r="D923" t="s">
        <v>49</v>
      </c>
      <c r="E923" t="s">
        <v>25</v>
      </c>
      <c r="F923" t="s">
        <v>29</v>
      </c>
      <c r="G923" t="s">
        <v>39</v>
      </c>
      <c r="H923" t="s">
        <v>40</v>
      </c>
      <c r="I923">
        <v>7</v>
      </c>
      <c r="J923" s="6">
        <v>542.1</v>
      </c>
      <c r="K923" s="6">
        <v>3794.7</v>
      </c>
      <c r="L923" t="s">
        <v>22</v>
      </c>
      <c r="M923" t="s">
        <v>22</v>
      </c>
      <c r="N923" s="3">
        <v>46203</v>
      </c>
      <c r="O923" s="6">
        <v>3794.7</v>
      </c>
    </row>
    <row r="924" spans="1:15" x14ac:dyDescent="0.3">
      <c r="A924" t="s">
        <v>975</v>
      </c>
      <c r="B924" s="3">
        <v>45996</v>
      </c>
      <c r="C924" t="s">
        <v>959</v>
      </c>
      <c r="D924" t="s">
        <v>24</v>
      </c>
      <c r="E924" t="s">
        <v>25</v>
      </c>
      <c r="F924" t="s">
        <v>29</v>
      </c>
      <c r="G924" t="s">
        <v>39</v>
      </c>
      <c r="H924" t="s">
        <v>21</v>
      </c>
      <c r="I924">
        <v>7</v>
      </c>
      <c r="J924" s="6">
        <v>924.07</v>
      </c>
      <c r="K924" s="6">
        <v>6468.49</v>
      </c>
      <c r="L924" t="s">
        <v>22</v>
      </c>
      <c r="M924" t="s">
        <v>22</v>
      </c>
      <c r="N924" s="3">
        <v>46203</v>
      </c>
      <c r="O924" s="6">
        <v>6468.49</v>
      </c>
    </row>
    <row r="925" spans="1:15" x14ac:dyDescent="0.3">
      <c r="A925" t="s">
        <v>976</v>
      </c>
      <c r="B925" s="3">
        <v>45996</v>
      </c>
      <c r="C925" t="s">
        <v>959</v>
      </c>
      <c r="D925" t="s">
        <v>49</v>
      </c>
      <c r="E925" t="s">
        <v>28</v>
      </c>
      <c r="F925" t="s">
        <v>33</v>
      </c>
      <c r="G925" t="s">
        <v>20</v>
      </c>
      <c r="H925" t="s">
        <v>34</v>
      </c>
      <c r="I925">
        <v>7</v>
      </c>
      <c r="J925" s="6">
        <v>488.4</v>
      </c>
      <c r="K925" s="6">
        <v>3418.8</v>
      </c>
      <c r="L925" t="s">
        <v>22</v>
      </c>
      <c r="M925" t="s">
        <v>22</v>
      </c>
      <c r="N925" s="3">
        <v>46203</v>
      </c>
      <c r="O925" s="6">
        <v>3418.8</v>
      </c>
    </row>
    <row r="926" spans="1:15" x14ac:dyDescent="0.3">
      <c r="A926" t="s">
        <v>977</v>
      </c>
      <c r="B926" s="3">
        <v>45996</v>
      </c>
      <c r="C926" t="s">
        <v>959</v>
      </c>
      <c r="D926" t="s">
        <v>49</v>
      </c>
      <c r="E926" t="s">
        <v>28</v>
      </c>
      <c r="F926" t="s">
        <v>51</v>
      </c>
      <c r="G926" t="s">
        <v>39</v>
      </c>
      <c r="H926" t="s">
        <v>21</v>
      </c>
      <c r="I926">
        <v>7</v>
      </c>
      <c r="J926" s="6">
        <v>495.58</v>
      </c>
      <c r="K926" s="6">
        <v>3469.06</v>
      </c>
      <c r="L926" t="s">
        <v>22</v>
      </c>
      <c r="M926" t="s">
        <v>22</v>
      </c>
      <c r="N926" s="3">
        <v>46203</v>
      </c>
      <c r="O926" s="6">
        <v>3469.06</v>
      </c>
    </row>
    <row r="927" spans="1:15" x14ac:dyDescent="0.3">
      <c r="A927" t="s">
        <v>978</v>
      </c>
      <c r="B927" s="3">
        <v>45996</v>
      </c>
      <c r="C927" t="s">
        <v>959</v>
      </c>
      <c r="D927" t="s">
        <v>17</v>
      </c>
      <c r="E927" t="s">
        <v>18</v>
      </c>
      <c r="F927" t="s">
        <v>51</v>
      </c>
      <c r="G927" t="s">
        <v>39</v>
      </c>
      <c r="H927" t="s">
        <v>21</v>
      </c>
      <c r="I927">
        <v>7</v>
      </c>
      <c r="J927" s="6">
        <v>1607.3</v>
      </c>
      <c r="K927" s="6">
        <v>11251.1</v>
      </c>
      <c r="L927" t="s">
        <v>22</v>
      </c>
      <c r="M927" t="s">
        <v>22</v>
      </c>
      <c r="N927" s="3">
        <v>46203</v>
      </c>
      <c r="O927" s="6">
        <v>11251.1</v>
      </c>
    </row>
    <row r="928" spans="1:15" x14ac:dyDescent="0.3">
      <c r="A928" t="s">
        <v>979</v>
      </c>
      <c r="B928" s="3">
        <v>45996</v>
      </c>
      <c r="C928" t="s">
        <v>959</v>
      </c>
      <c r="D928" t="s">
        <v>24</v>
      </c>
      <c r="E928" t="s">
        <v>18</v>
      </c>
      <c r="F928" t="s">
        <v>19</v>
      </c>
      <c r="G928" t="s">
        <v>39</v>
      </c>
      <c r="H928" t="s">
        <v>34</v>
      </c>
      <c r="I928">
        <v>4</v>
      </c>
      <c r="J928" s="6">
        <v>930.2</v>
      </c>
      <c r="K928" s="6">
        <v>3720.8</v>
      </c>
      <c r="L928" t="s">
        <v>30</v>
      </c>
      <c r="M928" t="s">
        <v>80</v>
      </c>
      <c r="N928" s="3">
        <v>46130</v>
      </c>
      <c r="O928" s="6">
        <v>3720.8</v>
      </c>
    </row>
    <row r="929" spans="1:15" x14ac:dyDescent="0.3">
      <c r="A929" t="s">
        <v>980</v>
      </c>
      <c r="B929" s="3">
        <v>45997</v>
      </c>
      <c r="C929" t="s">
        <v>959</v>
      </c>
      <c r="D929" t="s">
        <v>17</v>
      </c>
      <c r="E929" t="s">
        <v>18</v>
      </c>
      <c r="F929" t="s">
        <v>19</v>
      </c>
      <c r="G929" t="s">
        <v>39</v>
      </c>
      <c r="H929" t="s">
        <v>21</v>
      </c>
      <c r="I929">
        <v>7</v>
      </c>
      <c r="J929" s="6">
        <v>1407.51</v>
      </c>
      <c r="K929" s="6">
        <v>9852.57</v>
      </c>
      <c r="L929" t="s">
        <v>22</v>
      </c>
      <c r="M929" t="s">
        <v>22</v>
      </c>
      <c r="N929" s="3">
        <v>46203</v>
      </c>
      <c r="O929" s="6">
        <v>9852.57</v>
      </c>
    </row>
    <row r="930" spans="1:15" x14ac:dyDescent="0.3">
      <c r="A930" t="s">
        <v>981</v>
      </c>
      <c r="B930" s="3">
        <v>45997</v>
      </c>
      <c r="C930" t="s">
        <v>959</v>
      </c>
      <c r="D930" t="s">
        <v>49</v>
      </c>
      <c r="E930" t="s">
        <v>28</v>
      </c>
      <c r="F930" t="s">
        <v>38</v>
      </c>
      <c r="G930" t="s">
        <v>39</v>
      </c>
      <c r="H930" t="s">
        <v>40</v>
      </c>
      <c r="I930">
        <v>1</v>
      </c>
      <c r="J930" s="6">
        <v>470.65</v>
      </c>
      <c r="K930" s="6">
        <v>470.65</v>
      </c>
      <c r="L930" t="s">
        <v>30</v>
      </c>
      <c r="M930" t="s">
        <v>80</v>
      </c>
      <c r="N930" s="3">
        <v>46028</v>
      </c>
      <c r="O930" s="6">
        <v>470.65</v>
      </c>
    </row>
    <row r="931" spans="1:15" x14ac:dyDescent="0.3">
      <c r="A931" t="s">
        <v>982</v>
      </c>
      <c r="B931" s="3">
        <v>45998</v>
      </c>
      <c r="C931" t="s">
        <v>959</v>
      </c>
      <c r="D931" t="s">
        <v>24</v>
      </c>
      <c r="E931" t="s">
        <v>25</v>
      </c>
      <c r="F931" t="s">
        <v>38</v>
      </c>
      <c r="G931" t="s">
        <v>26</v>
      </c>
      <c r="H931" t="s">
        <v>21</v>
      </c>
      <c r="I931">
        <v>5</v>
      </c>
      <c r="J931" s="6">
        <v>828.56</v>
      </c>
      <c r="K931" s="6">
        <v>4142.8</v>
      </c>
      <c r="L931" t="s">
        <v>30</v>
      </c>
      <c r="M931" t="s">
        <v>41</v>
      </c>
      <c r="N931" s="3">
        <v>46139</v>
      </c>
      <c r="O931" s="6">
        <v>4142.8</v>
      </c>
    </row>
    <row r="932" spans="1:15" x14ac:dyDescent="0.3">
      <c r="A932" t="s">
        <v>983</v>
      </c>
      <c r="B932" s="3">
        <v>45998</v>
      </c>
      <c r="C932" t="s">
        <v>959</v>
      </c>
      <c r="D932" t="s">
        <v>49</v>
      </c>
      <c r="E932" t="s">
        <v>28</v>
      </c>
      <c r="F932" t="s">
        <v>29</v>
      </c>
      <c r="G932" t="s">
        <v>39</v>
      </c>
      <c r="H932" t="s">
        <v>40</v>
      </c>
      <c r="I932">
        <v>7</v>
      </c>
      <c r="J932" s="6">
        <v>528.86</v>
      </c>
      <c r="K932" s="6">
        <v>3702.02</v>
      </c>
      <c r="L932" t="s">
        <v>22</v>
      </c>
      <c r="M932" t="s">
        <v>22</v>
      </c>
      <c r="N932" s="3">
        <v>46203</v>
      </c>
      <c r="O932" s="6">
        <v>3702.02</v>
      </c>
    </row>
    <row r="933" spans="1:15" x14ac:dyDescent="0.3">
      <c r="A933" t="s">
        <v>984</v>
      </c>
      <c r="B933" s="3">
        <v>45999</v>
      </c>
      <c r="C933" t="s">
        <v>959</v>
      </c>
      <c r="D933" t="s">
        <v>49</v>
      </c>
      <c r="E933" t="s">
        <v>50</v>
      </c>
      <c r="F933" t="s">
        <v>19</v>
      </c>
      <c r="G933" t="s">
        <v>20</v>
      </c>
      <c r="H933" t="s">
        <v>40</v>
      </c>
      <c r="I933">
        <v>7</v>
      </c>
      <c r="J933" s="6">
        <v>492.09</v>
      </c>
      <c r="K933" s="6">
        <v>3444.63</v>
      </c>
      <c r="L933" t="s">
        <v>22</v>
      </c>
      <c r="M933" t="s">
        <v>22</v>
      </c>
      <c r="N933" s="3">
        <v>46203</v>
      </c>
      <c r="O933" s="6">
        <v>3444.63</v>
      </c>
    </row>
    <row r="934" spans="1:15" x14ac:dyDescent="0.3">
      <c r="A934" t="s">
        <v>985</v>
      </c>
      <c r="B934" s="3">
        <v>45999</v>
      </c>
      <c r="C934" t="s">
        <v>959</v>
      </c>
      <c r="D934" t="s">
        <v>17</v>
      </c>
      <c r="E934" t="s">
        <v>25</v>
      </c>
      <c r="F934" t="s">
        <v>19</v>
      </c>
      <c r="G934" t="s">
        <v>20</v>
      </c>
      <c r="H934" t="s">
        <v>45</v>
      </c>
      <c r="I934">
        <v>3</v>
      </c>
      <c r="J934" s="6">
        <v>1560.29</v>
      </c>
      <c r="K934" s="6">
        <v>4680.87</v>
      </c>
      <c r="L934" t="s">
        <v>30</v>
      </c>
      <c r="M934" t="s">
        <v>36</v>
      </c>
      <c r="N934" s="3">
        <v>46090</v>
      </c>
      <c r="O934" s="6">
        <v>4680.87</v>
      </c>
    </row>
    <row r="935" spans="1:15" x14ac:dyDescent="0.3">
      <c r="A935" t="s">
        <v>986</v>
      </c>
      <c r="B935" s="3">
        <v>45999</v>
      </c>
      <c r="C935" t="s">
        <v>959</v>
      </c>
      <c r="D935" t="s">
        <v>24</v>
      </c>
      <c r="E935" t="s">
        <v>28</v>
      </c>
      <c r="F935" t="s">
        <v>33</v>
      </c>
      <c r="G935" t="s">
        <v>20</v>
      </c>
      <c r="H935" t="s">
        <v>40</v>
      </c>
      <c r="I935">
        <v>7</v>
      </c>
      <c r="J935" s="6">
        <v>848.56</v>
      </c>
      <c r="K935" s="6">
        <v>5939.92</v>
      </c>
      <c r="L935" t="s">
        <v>22</v>
      </c>
      <c r="M935" t="s">
        <v>22</v>
      </c>
      <c r="N935" s="3">
        <v>46203</v>
      </c>
      <c r="O935" s="6">
        <v>5939.92</v>
      </c>
    </row>
    <row r="936" spans="1:15" x14ac:dyDescent="0.3">
      <c r="A936" t="s">
        <v>987</v>
      </c>
      <c r="B936" s="3">
        <v>45999</v>
      </c>
      <c r="C936" t="s">
        <v>959</v>
      </c>
      <c r="D936" t="s">
        <v>49</v>
      </c>
      <c r="E936" t="s">
        <v>18</v>
      </c>
      <c r="F936" t="s">
        <v>51</v>
      </c>
      <c r="G936" t="s">
        <v>39</v>
      </c>
      <c r="H936" t="s">
        <v>34</v>
      </c>
      <c r="I936">
        <v>7</v>
      </c>
      <c r="J936" s="6">
        <v>478.27</v>
      </c>
      <c r="K936" s="6">
        <v>3347.89</v>
      </c>
      <c r="L936" t="s">
        <v>22</v>
      </c>
      <c r="M936" t="s">
        <v>22</v>
      </c>
      <c r="N936" s="3">
        <v>46203</v>
      </c>
      <c r="O936" s="6">
        <v>3347.89</v>
      </c>
    </row>
    <row r="937" spans="1:15" x14ac:dyDescent="0.3">
      <c r="A937" t="s">
        <v>988</v>
      </c>
      <c r="B937" s="3">
        <v>45999</v>
      </c>
      <c r="C937" t="s">
        <v>959</v>
      </c>
      <c r="D937" t="s">
        <v>24</v>
      </c>
      <c r="E937" t="s">
        <v>28</v>
      </c>
      <c r="F937" t="s">
        <v>33</v>
      </c>
      <c r="G937" t="s">
        <v>26</v>
      </c>
      <c r="H937" t="s">
        <v>40</v>
      </c>
      <c r="I937">
        <v>7</v>
      </c>
      <c r="J937" s="6">
        <v>849.29</v>
      </c>
      <c r="K937" s="6">
        <v>5945.03</v>
      </c>
      <c r="L937" t="s">
        <v>22</v>
      </c>
      <c r="M937" t="s">
        <v>22</v>
      </c>
      <c r="N937" s="3">
        <v>46203</v>
      </c>
      <c r="O937" s="6">
        <v>5945.03</v>
      </c>
    </row>
    <row r="938" spans="1:15" x14ac:dyDescent="0.3">
      <c r="A938" t="s">
        <v>989</v>
      </c>
      <c r="B938" s="3">
        <v>45999</v>
      </c>
      <c r="C938" t="s">
        <v>959</v>
      </c>
      <c r="D938" t="s">
        <v>24</v>
      </c>
      <c r="E938" t="s">
        <v>28</v>
      </c>
      <c r="F938" t="s">
        <v>19</v>
      </c>
      <c r="G938" t="s">
        <v>39</v>
      </c>
      <c r="H938" t="s">
        <v>34</v>
      </c>
      <c r="I938">
        <v>7</v>
      </c>
      <c r="J938" s="6">
        <v>873.29</v>
      </c>
      <c r="K938" s="6">
        <v>6113.03</v>
      </c>
      <c r="L938" t="s">
        <v>22</v>
      </c>
      <c r="M938" t="s">
        <v>22</v>
      </c>
      <c r="N938" s="3">
        <v>46203</v>
      </c>
      <c r="O938" s="6">
        <v>6113.03</v>
      </c>
    </row>
    <row r="939" spans="1:15" x14ac:dyDescent="0.3">
      <c r="A939" t="s">
        <v>990</v>
      </c>
      <c r="B939" s="3">
        <v>46000</v>
      </c>
      <c r="C939" t="s">
        <v>959</v>
      </c>
      <c r="D939" t="s">
        <v>24</v>
      </c>
      <c r="E939" t="s">
        <v>28</v>
      </c>
      <c r="F939" t="s">
        <v>29</v>
      </c>
      <c r="G939" t="s">
        <v>20</v>
      </c>
      <c r="H939" t="s">
        <v>40</v>
      </c>
      <c r="I939">
        <v>4</v>
      </c>
      <c r="J939" s="6">
        <v>872.16</v>
      </c>
      <c r="K939" s="6">
        <v>3488.64</v>
      </c>
      <c r="L939" t="s">
        <v>30</v>
      </c>
      <c r="M939" t="s">
        <v>43</v>
      </c>
      <c r="N939" s="3">
        <v>46119</v>
      </c>
      <c r="O939" s="6">
        <v>3488.64</v>
      </c>
    </row>
    <row r="940" spans="1:15" x14ac:dyDescent="0.3">
      <c r="A940" t="s">
        <v>991</v>
      </c>
      <c r="B940" s="3">
        <v>46000</v>
      </c>
      <c r="C940" t="s">
        <v>959</v>
      </c>
      <c r="D940" t="s">
        <v>49</v>
      </c>
      <c r="E940" t="s">
        <v>18</v>
      </c>
      <c r="F940" t="s">
        <v>38</v>
      </c>
      <c r="G940" t="s">
        <v>20</v>
      </c>
      <c r="H940" t="s">
        <v>45</v>
      </c>
      <c r="I940">
        <v>7</v>
      </c>
      <c r="J940" s="6">
        <v>535.67999999999995</v>
      </c>
      <c r="K940" s="6">
        <v>3749.76</v>
      </c>
      <c r="L940" t="s">
        <v>22</v>
      </c>
      <c r="M940" t="s">
        <v>22</v>
      </c>
      <c r="N940" s="3">
        <v>46203</v>
      </c>
      <c r="O940" s="6">
        <v>3749.76</v>
      </c>
    </row>
    <row r="941" spans="1:15" x14ac:dyDescent="0.3">
      <c r="A941" t="s">
        <v>992</v>
      </c>
      <c r="B941" s="3">
        <v>46000</v>
      </c>
      <c r="C941" t="s">
        <v>959</v>
      </c>
      <c r="D941" t="s">
        <v>24</v>
      </c>
      <c r="E941" t="s">
        <v>18</v>
      </c>
      <c r="F941" t="s">
        <v>19</v>
      </c>
      <c r="G941" t="s">
        <v>26</v>
      </c>
      <c r="H941" t="s">
        <v>45</v>
      </c>
      <c r="I941">
        <v>7</v>
      </c>
      <c r="J941" s="6">
        <v>941.71</v>
      </c>
      <c r="K941" s="6">
        <v>6591.97</v>
      </c>
      <c r="L941" t="s">
        <v>22</v>
      </c>
      <c r="M941" t="s">
        <v>22</v>
      </c>
      <c r="N941" s="3">
        <v>46203</v>
      </c>
      <c r="O941" s="6">
        <v>6591.97</v>
      </c>
    </row>
    <row r="942" spans="1:15" x14ac:dyDescent="0.3">
      <c r="A942" t="s">
        <v>993</v>
      </c>
      <c r="B942" s="3">
        <v>46001</v>
      </c>
      <c r="C942" t="s">
        <v>959</v>
      </c>
      <c r="D942" t="s">
        <v>17</v>
      </c>
      <c r="E942" t="s">
        <v>50</v>
      </c>
      <c r="F942" t="s">
        <v>19</v>
      </c>
      <c r="G942" t="s">
        <v>39</v>
      </c>
      <c r="H942" t="s">
        <v>21</v>
      </c>
      <c r="I942">
        <v>7</v>
      </c>
      <c r="J942" s="6">
        <v>1465.58</v>
      </c>
      <c r="K942" s="6">
        <v>10259.06</v>
      </c>
      <c r="L942" t="s">
        <v>22</v>
      </c>
      <c r="M942" t="s">
        <v>22</v>
      </c>
      <c r="N942" s="3">
        <v>46203</v>
      </c>
      <c r="O942" s="6">
        <v>10259.06</v>
      </c>
    </row>
    <row r="943" spans="1:15" x14ac:dyDescent="0.3">
      <c r="A943" t="s">
        <v>994</v>
      </c>
      <c r="B943" s="3">
        <v>46001</v>
      </c>
      <c r="C943" t="s">
        <v>959</v>
      </c>
      <c r="D943" t="s">
        <v>24</v>
      </c>
      <c r="E943" t="s">
        <v>50</v>
      </c>
      <c r="F943" t="s">
        <v>33</v>
      </c>
      <c r="G943" t="s">
        <v>20</v>
      </c>
      <c r="H943" t="s">
        <v>34</v>
      </c>
      <c r="I943">
        <v>7</v>
      </c>
      <c r="J943" s="6">
        <v>934.64</v>
      </c>
      <c r="K943" s="6">
        <v>6542.48</v>
      </c>
      <c r="L943" t="s">
        <v>22</v>
      </c>
      <c r="M943" t="s">
        <v>22</v>
      </c>
      <c r="N943" s="3">
        <v>46203</v>
      </c>
      <c r="O943" s="6">
        <v>6542.48</v>
      </c>
    </row>
    <row r="944" spans="1:15" x14ac:dyDescent="0.3">
      <c r="A944" t="s">
        <v>995</v>
      </c>
      <c r="B944" s="3">
        <v>46003</v>
      </c>
      <c r="C944" t="s">
        <v>959</v>
      </c>
      <c r="D944" t="s">
        <v>17</v>
      </c>
      <c r="E944" t="s">
        <v>25</v>
      </c>
      <c r="F944" t="s">
        <v>19</v>
      </c>
      <c r="G944" t="s">
        <v>20</v>
      </c>
      <c r="H944" t="s">
        <v>34</v>
      </c>
      <c r="I944">
        <v>7</v>
      </c>
      <c r="J944" s="6">
        <v>1494.79</v>
      </c>
      <c r="K944" s="6">
        <v>10463.530000000001</v>
      </c>
      <c r="L944" t="s">
        <v>22</v>
      </c>
      <c r="M944" t="s">
        <v>22</v>
      </c>
      <c r="N944" s="3">
        <v>46203</v>
      </c>
      <c r="O944" s="6">
        <v>10463.530000000001</v>
      </c>
    </row>
    <row r="945" spans="1:15" x14ac:dyDescent="0.3">
      <c r="A945" t="s">
        <v>996</v>
      </c>
      <c r="B945" s="3">
        <v>46003</v>
      </c>
      <c r="C945" t="s">
        <v>959</v>
      </c>
      <c r="D945" t="s">
        <v>24</v>
      </c>
      <c r="E945" t="s">
        <v>28</v>
      </c>
      <c r="F945" t="s">
        <v>29</v>
      </c>
      <c r="G945" t="s">
        <v>39</v>
      </c>
      <c r="H945" t="s">
        <v>40</v>
      </c>
      <c r="I945">
        <v>7</v>
      </c>
      <c r="J945" s="6">
        <v>932.03</v>
      </c>
      <c r="K945" s="6">
        <v>6524.21</v>
      </c>
      <c r="L945" t="s">
        <v>22</v>
      </c>
      <c r="M945" t="s">
        <v>22</v>
      </c>
      <c r="N945" s="3">
        <v>46203</v>
      </c>
      <c r="O945" s="6">
        <v>6524.21</v>
      </c>
    </row>
    <row r="946" spans="1:15" x14ac:dyDescent="0.3">
      <c r="A946" t="s">
        <v>997</v>
      </c>
      <c r="B946" s="3">
        <v>46003</v>
      </c>
      <c r="C946" t="s">
        <v>959</v>
      </c>
      <c r="D946" t="s">
        <v>17</v>
      </c>
      <c r="E946" t="s">
        <v>28</v>
      </c>
      <c r="F946" t="s">
        <v>19</v>
      </c>
      <c r="G946" t="s">
        <v>20</v>
      </c>
      <c r="H946" t="s">
        <v>40</v>
      </c>
      <c r="I946">
        <v>7</v>
      </c>
      <c r="J946" s="6">
        <v>1584.5</v>
      </c>
      <c r="K946" s="6">
        <v>11091.5</v>
      </c>
      <c r="L946" t="s">
        <v>22</v>
      </c>
      <c r="M946" t="s">
        <v>22</v>
      </c>
      <c r="N946" s="3">
        <v>46203</v>
      </c>
      <c r="O946" s="6">
        <v>11091.5</v>
      </c>
    </row>
    <row r="947" spans="1:15" x14ac:dyDescent="0.3">
      <c r="A947" t="s">
        <v>998</v>
      </c>
      <c r="B947" s="3">
        <v>46003</v>
      </c>
      <c r="C947" t="s">
        <v>959</v>
      </c>
      <c r="D947" t="s">
        <v>24</v>
      </c>
      <c r="E947" t="s">
        <v>18</v>
      </c>
      <c r="F947" t="s">
        <v>19</v>
      </c>
      <c r="G947" t="s">
        <v>39</v>
      </c>
      <c r="H947" t="s">
        <v>40</v>
      </c>
      <c r="I947">
        <v>4</v>
      </c>
      <c r="J947" s="6">
        <v>813.15</v>
      </c>
      <c r="K947" s="6">
        <v>3252.6</v>
      </c>
      <c r="L947" t="s">
        <v>30</v>
      </c>
      <c r="M947" t="s">
        <v>31</v>
      </c>
      <c r="N947" s="3">
        <v>46130</v>
      </c>
      <c r="O947" s="6">
        <v>3252.6</v>
      </c>
    </row>
    <row r="948" spans="1:15" x14ac:dyDescent="0.3">
      <c r="A948" t="s">
        <v>999</v>
      </c>
      <c r="B948" s="3">
        <v>46004</v>
      </c>
      <c r="C948" t="s">
        <v>959</v>
      </c>
      <c r="D948" t="s">
        <v>24</v>
      </c>
      <c r="E948" t="s">
        <v>25</v>
      </c>
      <c r="F948" t="s">
        <v>38</v>
      </c>
      <c r="G948" t="s">
        <v>39</v>
      </c>
      <c r="H948" t="s">
        <v>21</v>
      </c>
      <c r="I948">
        <v>7</v>
      </c>
      <c r="J948" s="6">
        <v>909.06</v>
      </c>
      <c r="K948" s="6">
        <v>6363.42</v>
      </c>
      <c r="L948" t="s">
        <v>22</v>
      </c>
      <c r="M948" t="s">
        <v>22</v>
      </c>
      <c r="N948" s="3">
        <v>46203</v>
      </c>
      <c r="O948" s="6">
        <v>6363.42</v>
      </c>
    </row>
    <row r="949" spans="1:15" x14ac:dyDescent="0.3">
      <c r="A949" t="s">
        <v>1000</v>
      </c>
      <c r="B949" s="3">
        <v>46004</v>
      </c>
      <c r="C949" t="s">
        <v>959</v>
      </c>
      <c r="D949" t="s">
        <v>24</v>
      </c>
      <c r="E949" t="s">
        <v>18</v>
      </c>
      <c r="F949" t="s">
        <v>29</v>
      </c>
      <c r="G949" t="s">
        <v>20</v>
      </c>
      <c r="H949" t="s">
        <v>34</v>
      </c>
      <c r="I949">
        <v>3</v>
      </c>
      <c r="J949" s="6">
        <v>889.12</v>
      </c>
      <c r="K949" s="6">
        <v>2667.36</v>
      </c>
      <c r="L949" t="s">
        <v>30</v>
      </c>
      <c r="M949" t="s">
        <v>43</v>
      </c>
      <c r="N949" s="3">
        <v>46108</v>
      </c>
      <c r="O949" s="6">
        <v>2667.36</v>
      </c>
    </row>
    <row r="950" spans="1:15" x14ac:dyDescent="0.3">
      <c r="A950" t="s">
        <v>1001</v>
      </c>
      <c r="B950" s="3">
        <v>46004</v>
      </c>
      <c r="C950" t="s">
        <v>959</v>
      </c>
      <c r="D950" t="s">
        <v>17</v>
      </c>
      <c r="E950" t="s">
        <v>50</v>
      </c>
      <c r="F950" t="s">
        <v>33</v>
      </c>
      <c r="G950" t="s">
        <v>39</v>
      </c>
      <c r="H950" t="s">
        <v>21</v>
      </c>
      <c r="I950">
        <v>7</v>
      </c>
      <c r="J950" s="6">
        <v>1624.49</v>
      </c>
      <c r="K950" s="6">
        <v>11371.43</v>
      </c>
      <c r="L950" t="s">
        <v>22</v>
      </c>
      <c r="M950" t="s">
        <v>22</v>
      </c>
      <c r="N950" s="3">
        <v>46203</v>
      </c>
      <c r="O950" s="6">
        <v>11371.43</v>
      </c>
    </row>
    <row r="951" spans="1:15" x14ac:dyDescent="0.3">
      <c r="A951" t="s">
        <v>1002</v>
      </c>
      <c r="B951" s="3">
        <v>46004</v>
      </c>
      <c r="C951" t="s">
        <v>959</v>
      </c>
      <c r="D951" t="s">
        <v>49</v>
      </c>
      <c r="E951" t="s">
        <v>28</v>
      </c>
      <c r="F951" t="s">
        <v>33</v>
      </c>
      <c r="G951" t="s">
        <v>39</v>
      </c>
      <c r="H951" t="s">
        <v>21</v>
      </c>
      <c r="I951">
        <v>7</v>
      </c>
      <c r="J951" s="6">
        <v>454.52</v>
      </c>
      <c r="K951" s="6">
        <v>3181.64</v>
      </c>
      <c r="L951" t="s">
        <v>22</v>
      </c>
      <c r="M951" t="s">
        <v>22</v>
      </c>
      <c r="N951" s="3">
        <v>46203</v>
      </c>
      <c r="O951" s="6">
        <v>3181.64</v>
      </c>
    </row>
    <row r="952" spans="1:15" x14ac:dyDescent="0.3">
      <c r="A952" t="s">
        <v>1003</v>
      </c>
      <c r="B952" s="3">
        <v>46005</v>
      </c>
      <c r="C952" t="s">
        <v>959</v>
      </c>
      <c r="D952" t="s">
        <v>24</v>
      </c>
      <c r="E952" t="s">
        <v>18</v>
      </c>
      <c r="F952" t="s">
        <v>33</v>
      </c>
      <c r="G952" t="s">
        <v>39</v>
      </c>
      <c r="H952" t="s">
        <v>21</v>
      </c>
      <c r="I952">
        <v>7</v>
      </c>
      <c r="J952" s="6">
        <v>844.78</v>
      </c>
      <c r="K952" s="6">
        <v>5913.46</v>
      </c>
      <c r="L952" t="s">
        <v>22</v>
      </c>
      <c r="M952" t="s">
        <v>22</v>
      </c>
      <c r="N952" s="3">
        <v>46203</v>
      </c>
      <c r="O952" s="6">
        <v>5913.46</v>
      </c>
    </row>
    <row r="953" spans="1:15" x14ac:dyDescent="0.3">
      <c r="A953" t="s">
        <v>1004</v>
      </c>
      <c r="B953" s="3">
        <v>46005</v>
      </c>
      <c r="C953" t="s">
        <v>959</v>
      </c>
      <c r="D953" t="s">
        <v>24</v>
      </c>
      <c r="E953" t="s">
        <v>28</v>
      </c>
      <c r="F953" t="s">
        <v>51</v>
      </c>
      <c r="G953" t="s">
        <v>26</v>
      </c>
      <c r="H953" t="s">
        <v>34</v>
      </c>
      <c r="I953">
        <v>7</v>
      </c>
      <c r="J953" s="6">
        <v>985.48</v>
      </c>
      <c r="K953" s="6">
        <v>6898.36</v>
      </c>
      <c r="L953" t="s">
        <v>22</v>
      </c>
      <c r="M953" t="s">
        <v>22</v>
      </c>
      <c r="N953" s="3">
        <v>46203</v>
      </c>
      <c r="O953" s="6">
        <v>6898.36</v>
      </c>
    </row>
    <row r="954" spans="1:15" x14ac:dyDescent="0.3">
      <c r="A954" t="s">
        <v>1005</v>
      </c>
      <c r="B954" s="3">
        <v>46005</v>
      </c>
      <c r="C954" t="s">
        <v>959</v>
      </c>
      <c r="D954" t="s">
        <v>49</v>
      </c>
      <c r="E954" t="s">
        <v>25</v>
      </c>
      <c r="F954" t="s">
        <v>38</v>
      </c>
      <c r="G954" t="s">
        <v>39</v>
      </c>
      <c r="H954" t="s">
        <v>34</v>
      </c>
      <c r="I954">
        <v>7</v>
      </c>
      <c r="J954" s="6">
        <v>521.66999999999996</v>
      </c>
      <c r="K954" s="6">
        <v>3651.69</v>
      </c>
      <c r="L954" t="s">
        <v>22</v>
      </c>
      <c r="M954" t="s">
        <v>22</v>
      </c>
      <c r="N954" s="3">
        <v>46203</v>
      </c>
      <c r="O954" s="6">
        <v>3651.69</v>
      </c>
    </row>
    <row r="955" spans="1:15" x14ac:dyDescent="0.3">
      <c r="A955" t="s">
        <v>1006</v>
      </c>
      <c r="B955" s="3">
        <v>46006</v>
      </c>
      <c r="C955" t="s">
        <v>959</v>
      </c>
      <c r="D955" t="s">
        <v>17</v>
      </c>
      <c r="E955" t="s">
        <v>50</v>
      </c>
      <c r="F955" t="s">
        <v>38</v>
      </c>
      <c r="G955" t="s">
        <v>39</v>
      </c>
      <c r="H955" t="s">
        <v>34</v>
      </c>
      <c r="I955">
        <v>6</v>
      </c>
      <c r="J955" s="6">
        <v>1549.2</v>
      </c>
      <c r="K955" s="6">
        <v>9295.2000000000007</v>
      </c>
      <c r="L955" t="s">
        <v>22</v>
      </c>
      <c r="M955" t="s">
        <v>22</v>
      </c>
      <c r="N955" s="3">
        <v>46203</v>
      </c>
      <c r="O955" s="6">
        <v>9295.2000000000007</v>
      </c>
    </row>
    <row r="956" spans="1:15" x14ac:dyDescent="0.3">
      <c r="A956" t="s">
        <v>1007</v>
      </c>
      <c r="B956" s="3">
        <v>46006</v>
      </c>
      <c r="C956" t="s">
        <v>959</v>
      </c>
      <c r="D956" t="s">
        <v>49</v>
      </c>
      <c r="E956" t="s">
        <v>25</v>
      </c>
      <c r="F956" t="s">
        <v>38</v>
      </c>
      <c r="G956" t="s">
        <v>39</v>
      </c>
      <c r="H956" t="s">
        <v>21</v>
      </c>
      <c r="I956">
        <v>6</v>
      </c>
      <c r="J956" s="6">
        <v>462.32</v>
      </c>
      <c r="K956" s="6">
        <v>2773.92</v>
      </c>
      <c r="L956" t="s">
        <v>22</v>
      </c>
      <c r="M956" t="s">
        <v>22</v>
      </c>
      <c r="N956" s="3">
        <v>46203</v>
      </c>
      <c r="O956" s="6">
        <v>2773.92</v>
      </c>
    </row>
    <row r="957" spans="1:15" x14ac:dyDescent="0.3">
      <c r="A957" t="s">
        <v>1008</v>
      </c>
      <c r="B957" s="3">
        <v>46007</v>
      </c>
      <c r="C957" t="s">
        <v>959</v>
      </c>
      <c r="D957" t="s">
        <v>17</v>
      </c>
      <c r="E957" t="s">
        <v>50</v>
      </c>
      <c r="F957" t="s">
        <v>33</v>
      </c>
      <c r="G957" t="s">
        <v>20</v>
      </c>
      <c r="H957" t="s">
        <v>40</v>
      </c>
      <c r="I957">
        <v>6</v>
      </c>
      <c r="J957" s="6">
        <v>1507.1</v>
      </c>
      <c r="K957" s="6">
        <v>9042.6</v>
      </c>
      <c r="L957" t="s">
        <v>22</v>
      </c>
      <c r="M957" t="s">
        <v>22</v>
      </c>
      <c r="N957" s="3">
        <v>46203</v>
      </c>
      <c r="O957" s="6">
        <v>9042.6</v>
      </c>
    </row>
    <row r="958" spans="1:15" x14ac:dyDescent="0.3">
      <c r="A958" t="s">
        <v>1009</v>
      </c>
      <c r="B958" s="3">
        <v>46007</v>
      </c>
      <c r="C958" t="s">
        <v>959</v>
      </c>
      <c r="D958" t="s">
        <v>49</v>
      </c>
      <c r="E958" t="s">
        <v>25</v>
      </c>
      <c r="F958" t="s">
        <v>29</v>
      </c>
      <c r="G958" t="s">
        <v>39</v>
      </c>
      <c r="H958" t="s">
        <v>34</v>
      </c>
      <c r="I958">
        <v>6</v>
      </c>
      <c r="J958" s="6">
        <v>515.02</v>
      </c>
      <c r="K958" s="6">
        <v>3090.12</v>
      </c>
      <c r="L958" t="s">
        <v>22</v>
      </c>
      <c r="M958" t="s">
        <v>22</v>
      </c>
      <c r="N958" s="3">
        <v>46203</v>
      </c>
      <c r="O958" s="6">
        <v>3090.12</v>
      </c>
    </row>
    <row r="959" spans="1:15" x14ac:dyDescent="0.3">
      <c r="A959" t="s">
        <v>1010</v>
      </c>
      <c r="B959" s="3">
        <v>46008</v>
      </c>
      <c r="C959" t="s">
        <v>959</v>
      </c>
      <c r="D959" t="s">
        <v>24</v>
      </c>
      <c r="E959" t="s">
        <v>18</v>
      </c>
      <c r="F959" t="s">
        <v>38</v>
      </c>
      <c r="G959" t="s">
        <v>39</v>
      </c>
      <c r="H959" t="s">
        <v>45</v>
      </c>
      <c r="I959">
        <v>6</v>
      </c>
      <c r="J959" s="6">
        <v>974.23</v>
      </c>
      <c r="K959" s="6">
        <v>5845.38</v>
      </c>
      <c r="L959" t="s">
        <v>22</v>
      </c>
      <c r="M959" t="s">
        <v>22</v>
      </c>
      <c r="N959" s="3">
        <v>46203</v>
      </c>
      <c r="O959" s="6">
        <v>5845.38</v>
      </c>
    </row>
    <row r="960" spans="1:15" x14ac:dyDescent="0.3">
      <c r="A960" t="s">
        <v>1011</v>
      </c>
      <c r="B960" s="3">
        <v>46008</v>
      </c>
      <c r="C960" t="s">
        <v>959</v>
      </c>
      <c r="D960" t="s">
        <v>17</v>
      </c>
      <c r="E960" t="s">
        <v>18</v>
      </c>
      <c r="F960" t="s">
        <v>38</v>
      </c>
      <c r="G960" t="s">
        <v>20</v>
      </c>
      <c r="H960" t="s">
        <v>21</v>
      </c>
      <c r="I960">
        <v>6</v>
      </c>
      <c r="J960" s="6">
        <v>1573.79</v>
      </c>
      <c r="K960" s="6">
        <v>9442.74</v>
      </c>
      <c r="L960" t="s">
        <v>22</v>
      </c>
      <c r="M960" t="s">
        <v>22</v>
      </c>
      <c r="N960" s="3">
        <v>46203</v>
      </c>
      <c r="O960" s="6">
        <v>9442.74</v>
      </c>
    </row>
    <row r="961" spans="1:15" x14ac:dyDescent="0.3">
      <c r="A961" t="s">
        <v>1012</v>
      </c>
      <c r="B961" s="3">
        <v>46008</v>
      </c>
      <c r="C961" t="s">
        <v>959</v>
      </c>
      <c r="D961" t="s">
        <v>24</v>
      </c>
      <c r="E961" t="s">
        <v>50</v>
      </c>
      <c r="F961" t="s">
        <v>33</v>
      </c>
      <c r="G961" t="s">
        <v>39</v>
      </c>
      <c r="H961" t="s">
        <v>21</v>
      </c>
      <c r="I961">
        <v>6</v>
      </c>
      <c r="J961" s="6">
        <v>871.5</v>
      </c>
      <c r="K961" s="6">
        <v>5229</v>
      </c>
      <c r="L961" t="s">
        <v>22</v>
      </c>
      <c r="M961" t="s">
        <v>22</v>
      </c>
      <c r="N961" s="3">
        <v>46203</v>
      </c>
      <c r="O961" s="6">
        <v>5229</v>
      </c>
    </row>
    <row r="962" spans="1:15" x14ac:dyDescent="0.3">
      <c r="A962" t="s">
        <v>1013</v>
      </c>
      <c r="B962" s="3">
        <v>46008</v>
      </c>
      <c r="C962" t="s">
        <v>959</v>
      </c>
      <c r="D962" t="s">
        <v>49</v>
      </c>
      <c r="E962" t="s">
        <v>28</v>
      </c>
      <c r="F962" t="s">
        <v>51</v>
      </c>
      <c r="G962" t="s">
        <v>39</v>
      </c>
      <c r="H962" t="s">
        <v>40</v>
      </c>
      <c r="I962">
        <v>6</v>
      </c>
      <c r="J962" s="6">
        <v>532.26</v>
      </c>
      <c r="K962" s="6">
        <v>3193.56</v>
      </c>
      <c r="L962" t="s">
        <v>22</v>
      </c>
      <c r="M962" t="s">
        <v>22</v>
      </c>
      <c r="N962" s="3">
        <v>46203</v>
      </c>
      <c r="O962" s="6">
        <v>3193.56</v>
      </c>
    </row>
    <row r="963" spans="1:15" x14ac:dyDescent="0.3">
      <c r="A963" t="s">
        <v>1014</v>
      </c>
      <c r="B963" s="3">
        <v>46008</v>
      </c>
      <c r="C963" t="s">
        <v>959</v>
      </c>
      <c r="D963" t="s">
        <v>49</v>
      </c>
      <c r="E963" t="s">
        <v>28</v>
      </c>
      <c r="F963" t="s">
        <v>29</v>
      </c>
      <c r="G963" t="s">
        <v>39</v>
      </c>
      <c r="H963" t="s">
        <v>21</v>
      </c>
      <c r="I963">
        <v>4</v>
      </c>
      <c r="J963" s="6">
        <v>461.12</v>
      </c>
      <c r="K963" s="6">
        <v>1844.48</v>
      </c>
      <c r="L963" t="s">
        <v>30</v>
      </c>
      <c r="M963" t="s">
        <v>41</v>
      </c>
      <c r="N963" s="3">
        <v>46131</v>
      </c>
      <c r="O963" s="6">
        <v>1844.48</v>
      </c>
    </row>
    <row r="964" spans="1:15" x14ac:dyDescent="0.3">
      <c r="A964" t="s">
        <v>1015</v>
      </c>
      <c r="B964" s="3">
        <v>46008</v>
      </c>
      <c r="C964" t="s">
        <v>959</v>
      </c>
      <c r="D964" t="s">
        <v>49</v>
      </c>
      <c r="E964" t="s">
        <v>18</v>
      </c>
      <c r="F964" t="s">
        <v>19</v>
      </c>
      <c r="G964" t="s">
        <v>20</v>
      </c>
      <c r="H964" t="s">
        <v>21</v>
      </c>
      <c r="I964">
        <v>6</v>
      </c>
      <c r="J964" s="6">
        <v>530.08000000000004</v>
      </c>
      <c r="K964" s="6">
        <v>3180.48</v>
      </c>
      <c r="L964" t="s">
        <v>22</v>
      </c>
      <c r="M964" t="s">
        <v>22</v>
      </c>
      <c r="N964" s="3">
        <v>46203</v>
      </c>
      <c r="O964" s="6">
        <v>3180.48</v>
      </c>
    </row>
    <row r="965" spans="1:15" x14ac:dyDescent="0.3">
      <c r="A965" t="s">
        <v>1016</v>
      </c>
      <c r="B965" s="3">
        <v>46009</v>
      </c>
      <c r="C965" t="s">
        <v>959</v>
      </c>
      <c r="D965" t="s">
        <v>49</v>
      </c>
      <c r="E965" t="s">
        <v>18</v>
      </c>
      <c r="F965" t="s">
        <v>29</v>
      </c>
      <c r="G965" t="s">
        <v>20</v>
      </c>
      <c r="H965" t="s">
        <v>21</v>
      </c>
      <c r="I965">
        <v>6</v>
      </c>
      <c r="J965" s="6">
        <v>486.43</v>
      </c>
      <c r="K965" s="6">
        <v>2918.58</v>
      </c>
      <c r="L965" t="s">
        <v>22</v>
      </c>
      <c r="M965" t="s">
        <v>22</v>
      </c>
      <c r="N965" s="3">
        <v>46203</v>
      </c>
      <c r="O965" s="6">
        <v>2918.58</v>
      </c>
    </row>
    <row r="966" spans="1:15" x14ac:dyDescent="0.3">
      <c r="A966" t="s">
        <v>1017</v>
      </c>
      <c r="B966" s="3">
        <v>46009</v>
      </c>
      <c r="C966" t="s">
        <v>959</v>
      </c>
      <c r="D966" t="s">
        <v>49</v>
      </c>
      <c r="E966" t="s">
        <v>25</v>
      </c>
      <c r="F966" t="s">
        <v>33</v>
      </c>
      <c r="G966" t="s">
        <v>20</v>
      </c>
      <c r="H966" t="s">
        <v>40</v>
      </c>
      <c r="I966">
        <v>6</v>
      </c>
      <c r="J966" s="6">
        <v>525.27</v>
      </c>
      <c r="K966" s="6">
        <v>3151.62</v>
      </c>
      <c r="L966" t="s">
        <v>22</v>
      </c>
      <c r="M966" t="s">
        <v>22</v>
      </c>
      <c r="N966" s="3">
        <v>46203</v>
      </c>
      <c r="O966" s="6">
        <v>3151.62</v>
      </c>
    </row>
    <row r="967" spans="1:15" x14ac:dyDescent="0.3">
      <c r="A967" t="s">
        <v>1018</v>
      </c>
      <c r="B967" s="3">
        <v>46009</v>
      </c>
      <c r="C967" t="s">
        <v>959</v>
      </c>
      <c r="D967" t="s">
        <v>49</v>
      </c>
      <c r="E967" t="s">
        <v>50</v>
      </c>
      <c r="F967" t="s">
        <v>29</v>
      </c>
      <c r="G967" t="s">
        <v>20</v>
      </c>
      <c r="H967" t="s">
        <v>34</v>
      </c>
      <c r="I967">
        <v>6</v>
      </c>
      <c r="J967" s="6">
        <v>505.9</v>
      </c>
      <c r="K967" s="6">
        <v>3035.4</v>
      </c>
      <c r="L967" t="s">
        <v>22</v>
      </c>
      <c r="M967" t="s">
        <v>22</v>
      </c>
      <c r="N967" s="3">
        <v>46203</v>
      </c>
      <c r="O967" s="6">
        <v>3035.4</v>
      </c>
    </row>
    <row r="968" spans="1:15" x14ac:dyDescent="0.3">
      <c r="A968" t="s">
        <v>1019</v>
      </c>
      <c r="B968" s="3">
        <v>46009</v>
      </c>
      <c r="C968" t="s">
        <v>959</v>
      </c>
      <c r="D968" t="s">
        <v>49</v>
      </c>
      <c r="E968" t="s">
        <v>18</v>
      </c>
      <c r="F968" t="s">
        <v>38</v>
      </c>
      <c r="G968" t="s">
        <v>39</v>
      </c>
      <c r="H968" t="s">
        <v>34</v>
      </c>
      <c r="I968">
        <v>6</v>
      </c>
      <c r="J968" s="6">
        <v>454.46</v>
      </c>
      <c r="K968" s="6">
        <v>2726.76</v>
      </c>
      <c r="L968" t="s">
        <v>22</v>
      </c>
      <c r="M968" t="s">
        <v>22</v>
      </c>
      <c r="N968" s="3">
        <v>46203</v>
      </c>
      <c r="O968" s="6">
        <v>2726.76</v>
      </c>
    </row>
    <row r="969" spans="1:15" x14ac:dyDescent="0.3">
      <c r="A969" t="s">
        <v>1020</v>
      </c>
      <c r="B969" s="3">
        <v>46009</v>
      </c>
      <c r="C969" t="s">
        <v>959</v>
      </c>
      <c r="D969" t="s">
        <v>24</v>
      </c>
      <c r="E969" t="s">
        <v>25</v>
      </c>
      <c r="F969" t="s">
        <v>19</v>
      </c>
      <c r="G969" t="s">
        <v>20</v>
      </c>
      <c r="H969" t="s">
        <v>21</v>
      </c>
      <c r="I969">
        <v>2</v>
      </c>
      <c r="J969" s="6">
        <v>966.24</v>
      </c>
      <c r="K969" s="6">
        <v>1932.48</v>
      </c>
      <c r="L969" t="s">
        <v>30</v>
      </c>
      <c r="M969" t="s">
        <v>31</v>
      </c>
      <c r="N969" s="3">
        <v>46062</v>
      </c>
      <c r="O969" s="6">
        <v>1932.48</v>
      </c>
    </row>
    <row r="970" spans="1:15" x14ac:dyDescent="0.3">
      <c r="A970" t="s">
        <v>1021</v>
      </c>
      <c r="B970" s="3">
        <v>46010</v>
      </c>
      <c r="C970" t="s">
        <v>959</v>
      </c>
      <c r="D970" t="s">
        <v>17</v>
      </c>
      <c r="E970" t="s">
        <v>25</v>
      </c>
      <c r="F970" t="s">
        <v>29</v>
      </c>
      <c r="G970" t="s">
        <v>26</v>
      </c>
      <c r="H970" t="s">
        <v>40</v>
      </c>
      <c r="I970">
        <v>6</v>
      </c>
      <c r="J970" s="6">
        <v>1459.34</v>
      </c>
      <c r="K970" s="6">
        <v>8756.0400000000009</v>
      </c>
      <c r="L970" t="s">
        <v>22</v>
      </c>
      <c r="M970" t="s">
        <v>22</v>
      </c>
      <c r="N970" s="3">
        <v>46203</v>
      </c>
      <c r="O970" s="6">
        <v>8756.0400000000009</v>
      </c>
    </row>
    <row r="971" spans="1:15" x14ac:dyDescent="0.3">
      <c r="A971" t="s">
        <v>1022</v>
      </c>
      <c r="B971" s="3">
        <v>46010</v>
      </c>
      <c r="C971" t="s">
        <v>959</v>
      </c>
      <c r="D971" t="s">
        <v>24</v>
      </c>
      <c r="E971" t="s">
        <v>25</v>
      </c>
      <c r="F971" t="s">
        <v>19</v>
      </c>
      <c r="G971" t="s">
        <v>39</v>
      </c>
      <c r="H971" t="s">
        <v>21</v>
      </c>
      <c r="I971">
        <v>6</v>
      </c>
      <c r="J971" s="6">
        <v>852.37</v>
      </c>
      <c r="K971" s="6">
        <v>5114.22</v>
      </c>
      <c r="L971" t="s">
        <v>22</v>
      </c>
      <c r="M971" t="s">
        <v>22</v>
      </c>
      <c r="N971" s="3">
        <v>46203</v>
      </c>
      <c r="O971" s="6">
        <v>5114.22</v>
      </c>
    </row>
    <row r="972" spans="1:15" x14ac:dyDescent="0.3">
      <c r="A972" t="s">
        <v>1023</v>
      </c>
      <c r="B972" s="3">
        <v>46011</v>
      </c>
      <c r="C972" t="s">
        <v>959</v>
      </c>
      <c r="D972" t="s">
        <v>49</v>
      </c>
      <c r="E972" t="s">
        <v>18</v>
      </c>
      <c r="F972" t="s">
        <v>38</v>
      </c>
      <c r="G972" t="s">
        <v>39</v>
      </c>
      <c r="H972" t="s">
        <v>21</v>
      </c>
      <c r="I972">
        <v>3</v>
      </c>
      <c r="J972" s="6">
        <v>453.43</v>
      </c>
      <c r="K972" s="6">
        <v>1360.29</v>
      </c>
      <c r="L972" t="s">
        <v>30</v>
      </c>
      <c r="M972" t="s">
        <v>80</v>
      </c>
      <c r="N972" s="3">
        <v>46103</v>
      </c>
      <c r="O972" s="6">
        <v>1360.29</v>
      </c>
    </row>
    <row r="973" spans="1:15" x14ac:dyDescent="0.3">
      <c r="A973" t="s">
        <v>1024</v>
      </c>
      <c r="B973" s="3">
        <v>46011</v>
      </c>
      <c r="C973" t="s">
        <v>959</v>
      </c>
      <c r="D973" t="s">
        <v>49</v>
      </c>
      <c r="E973" t="s">
        <v>18</v>
      </c>
      <c r="F973" t="s">
        <v>38</v>
      </c>
      <c r="G973" t="s">
        <v>39</v>
      </c>
      <c r="H973" t="s">
        <v>45</v>
      </c>
      <c r="I973">
        <v>6</v>
      </c>
      <c r="J973" s="6">
        <v>529.39</v>
      </c>
      <c r="K973" s="6">
        <v>3176.34</v>
      </c>
      <c r="L973" t="s">
        <v>22</v>
      </c>
      <c r="M973" t="s">
        <v>22</v>
      </c>
      <c r="N973" s="3">
        <v>46203</v>
      </c>
      <c r="O973" s="6">
        <v>3176.34</v>
      </c>
    </row>
    <row r="974" spans="1:15" x14ac:dyDescent="0.3">
      <c r="A974" t="s">
        <v>1025</v>
      </c>
      <c r="B974" s="3">
        <v>46011</v>
      </c>
      <c r="C974" t="s">
        <v>959</v>
      </c>
      <c r="D974" t="s">
        <v>24</v>
      </c>
      <c r="E974" t="s">
        <v>28</v>
      </c>
      <c r="F974" t="s">
        <v>29</v>
      </c>
      <c r="G974" t="s">
        <v>20</v>
      </c>
      <c r="H974" t="s">
        <v>40</v>
      </c>
      <c r="I974">
        <v>6</v>
      </c>
      <c r="J974" s="6">
        <v>960.01</v>
      </c>
      <c r="K974" s="6">
        <v>5760.06</v>
      </c>
      <c r="L974" t="s">
        <v>22</v>
      </c>
      <c r="M974" t="s">
        <v>22</v>
      </c>
      <c r="N974" s="3">
        <v>46203</v>
      </c>
      <c r="O974" s="6">
        <v>5760.06</v>
      </c>
    </row>
    <row r="975" spans="1:15" x14ac:dyDescent="0.3">
      <c r="A975" t="s">
        <v>1026</v>
      </c>
      <c r="B975" s="3">
        <v>46011</v>
      </c>
      <c r="C975" t="s">
        <v>959</v>
      </c>
      <c r="D975" t="s">
        <v>24</v>
      </c>
      <c r="E975" t="s">
        <v>50</v>
      </c>
      <c r="F975" t="s">
        <v>19</v>
      </c>
      <c r="G975" t="s">
        <v>39</v>
      </c>
      <c r="H975" t="s">
        <v>34</v>
      </c>
      <c r="I975">
        <v>6</v>
      </c>
      <c r="J975" s="6">
        <v>840.51</v>
      </c>
      <c r="K975" s="6">
        <v>5043.0600000000004</v>
      </c>
      <c r="L975" t="s">
        <v>22</v>
      </c>
      <c r="M975" t="s">
        <v>22</v>
      </c>
      <c r="N975" s="3">
        <v>46203</v>
      </c>
      <c r="O975" s="6">
        <v>5043.0600000000004</v>
      </c>
    </row>
    <row r="976" spans="1:15" x14ac:dyDescent="0.3">
      <c r="A976" t="s">
        <v>1027</v>
      </c>
      <c r="B976" s="3">
        <v>46011</v>
      </c>
      <c r="C976" t="s">
        <v>959</v>
      </c>
      <c r="D976" t="s">
        <v>49</v>
      </c>
      <c r="E976" t="s">
        <v>18</v>
      </c>
      <c r="F976" t="s">
        <v>29</v>
      </c>
      <c r="G976" t="s">
        <v>39</v>
      </c>
      <c r="H976" t="s">
        <v>34</v>
      </c>
      <c r="I976">
        <v>6</v>
      </c>
      <c r="J976" s="6">
        <v>528.73</v>
      </c>
      <c r="K976" s="6">
        <v>3172.38</v>
      </c>
      <c r="L976" t="s">
        <v>22</v>
      </c>
      <c r="M976" t="s">
        <v>22</v>
      </c>
      <c r="N976" s="3">
        <v>46203</v>
      </c>
      <c r="O976" s="6">
        <v>3172.38</v>
      </c>
    </row>
    <row r="977" spans="1:15" x14ac:dyDescent="0.3">
      <c r="A977" t="s">
        <v>1028</v>
      </c>
      <c r="B977" s="3">
        <v>46011</v>
      </c>
      <c r="C977" t="s">
        <v>959</v>
      </c>
      <c r="D977" t="s">
        <v>24</v>
      </c>
      <c r="E977" t="s">
        <v>18</v>
      </c>
      <c r="F977" t="s">
        <v>29</v>
      </c>
      <c r="G977" t="s">
        <v>39</v>
      </c>
      <c r="H977" t="s">
        <v>40</v>
      </c>
      <c r="I977">
        <v>6</v>
      </c>
      <c r="J977" s="6">
        <v>871.71</v>
      </c>
      <c r="K977" s="6">
        <v>5230.26</v>
      </c>
      <c r="L977" t="s">
        <v>22</v>
      </c>
      <c r="M977" t="s">
        <v>22</v>
      </c>
      <c r="N977" s="3">
        <v>46203</v>
      </c>
      <c r="O977" s="6">
        <v>5230.26</v>
      </c>
    </row>
    <row r="978" spans="1:15" x14ac:dyDescent="0.3">
      <c r="A978" t="s">
        <v>1029</v>
      </c>
      <c r="B978" s="3">
        <v>46012</v>
      </c>
      <c r="C978" t="s">
        <v>959</v>
      </c>
      <c r="D978" t="s">
        <v>24</v>
      </c>
      <c r="E978" t="s">
        <v>25</v>
      </c>
      <c r="F978" t="s">
        <v>51</v>
      </c>
      <c r="G978" t="s">
        <v>39</v>
      </c>
      <c r="H978" t="s">
        <v>45</v>
      </c>
      <c r="I978">
        <v>6</v>
      </c>
      <c r="J978" s="6">
        <v>952.55</v>
      </c>
      <c r="K978" s="6">
        <v>5715.3</v>
      </c>
      <c r="L978" t="s">
        <v>22</v>
      </c>
      <c r="M978" t="s">
        <v>22</v>
      </c>
      <c r="N978" s="3">
        <v>46203</v>
      </c>
      <c r="O978" s="6">
        <v>5715.3</v>
      </c>
    </row>
    <row r="979" spans="1:15" x14ac:dyDescent="0.3">
      <c r="A979" t="s">
        <v>1030</v>
      </c>
      <c r="B979" s="3">
        <v>46012</v>
      </c>
      <c r="C979" t="s">
        <v>959</v>
      </c>
      <c r="D979" t="s">
        <v>24</v>
      </c>
      <c r="E979" t="s">
        <v>28</v>
      </c>
      <c r="F979" t="s">
        <v>29</v>
      </c>
      <c r="G979" t="s">
        <v>39</v>
      </c>
      <c r="H979" t="s">
        <v>21</v>
      </c>
      <c r="I979">
        <v>6</v>
      </c>
      <c r="J979" s="6">
        <v>861.25</v>
      </c>
      <c r="K979" s="6">
        <v>5167.5</v>
      </c>
      <c r="L979" t="s">
        <v>22</v>
      </c>
      <c r="M979" t="s">
        <v>22</v>
      </c>
      <c r="N979" s="3">
        <v>46203</v>
      </c>
      <c r="O979" s="6">
        <v>5167.5</v>
      </c>
    </row>
    <row r="980" spans="1:15" x14ac:dyDescent="0.3">
      <c r="A980" t="s">
        <v>1031</v>
      </c>
      <c r="B980" s="3">
        <v>46012</v>
      </c>
      <c r="C980" t="s">
        <v>959</v>
      </c>
      <c r="D980" t="s">
        <v>17</v>
      </c>
      <c r="E980" t="s">
        <v>25</v>
      </c>
      <c r="F980" t="s">
        <v>33</v>
      </c>
      <c r="G980" t="s">
        <v>39</v>
      </c>
      <c r="H980" t="s">
        <v>21</v>
      </c>
      <c r="I980">
        <v>2</v>
      </c>
      <c r="J980" s="6">
        <v>1502.13</v>
      </c>
      <c r="K980" s="6">
        <v>3004.26</v>
      </c>
      <c r="L980" t="s">
        <v>30</v>
      </c>
      <c r="M980" t="s">
        <v>43</v>
      </c>
      <c r="N980" s="3">
        <v>46084</v>
      </c>
      <c r="O980" s="6">
        <v>3004.26</v>
      </c>
    </row>
    <row r="981" spans="1:15" x14ac:dyDescent="0.3">
      <c r="A981" t="s">
        <v>1032</v>
      </c>
      <c r="B981" s="3">
        <v>46013</v>
      </c>
      <c r="C981" t="s">
        <v>959</v>
      </c>
      <c r="D981" t="s">
        <v>17</v>
      </c>
      <c r="E981" t="s">
        <v>18</v>
      </c>
      <c r="F981" t="s">
        <v>51</v>
      </c>
      <c r="G981" t="s">
        <v>20</v>
      </c>
      <c r="H981" t="s">
        <v>21</v>
      </c>
      <c r="I981">
        <v>6</v>
      </c>
      <c r="J981" s="6">
        <v>1458.89</v>
      </c>
      <c r="K981" s="6">
        <v>8753.34</v>
      </c>
      <c r="L981" t="s">
        <v>22</v>
      </c>
      <c r="M981" t="s">
        <v>22</v>
      </c>
      <c r="N981" s="3">
        <v>46203</v>
      </c>
      <c r="O981" s="6">
        <v>8753.34</v>
      </c>
    </row>
    <row r="982" spans="1:15" x14ac:dyDescent="0.3">
      <c r="A982" t="s">
        <v>1033</v>
      </c>
      <c r="B982" s="3">
        <v>46013</v>
      </c>
      <c r="C982" t="s">
        <v>959</v>
      </c>
      <c r="D982" t="s">
        <v>49</v>
      </c>
      <c r="E982" t="s">
        <v>25</v>
      </c>
      <c r="F982" t="s">
        <v>51</v>
      </c>
      <c r="G982" t="s">
        <v>39</v>
      </c>
      <c r="H982" t="s">
        <v>34</v>
      </c>
      <c r="I982">
        <v>6</v>
      </c>
      <c r="J982" s="6">
        <v>518.24</v>
      </c>
      <c r="K982" s="6">
        <v>3109.44</v>
      </c>
      <c r="L982" t="s">
        <v>22</v>
      </c>
      <c r="M982" t="s">
        <v>22</v>
      </c>
      <c r="N982" s="3">
        <v>46203</v>
      </c>
      <c r="O982" s="6">
        <v>3109.44</v>
      </c>
    </row>
    <row r="983" spans="1:15" x14ac:dyDescent="0.3">
      <c r="A983" t="s">
        <v>1034</v>
      </c>
      <c r="B983" s="3">
        <v>46013</v>
      </c>
      <c r="C983" t="s">
        <v>959</v>
      </c>
      <c r="D983" t="s">
        <v>17</v>
      </c>
      <c r="E983" t="s">
        <v>25</v>
      </c>
      <c r="F983" t="s">
        <v>19</v>
      </c>
      <c r="G983" t="s">
        <v>39</v>
      </c>
      <c r="H983" t="s">
        <v>34</v>
      </c>
      <c r="I983">
        <v>6</v>
      </c>
      <c r="J983" s="6">
        <v>1555.99</v>
      </c>
      <c r="K983" s="6">
        <v>9335.94</v>
      </c>
      <c r="L983" t="s">
        <v>22</v>
      </c>
      <c r="M983" t="s">
        <v>22</v>
      </c>
      <c r="N983" s="3">
        <v>46203</v>
      </c>
      <c r="O983" s="6">
        <v>9335.94</v>
      </c>
    </row>
    <row r="984" spans="1:15" x14ac:dyDescent="0.3">
      <c r="A984" t="s">
        <v>1035</v>
      </c>
      <c r="B984" s="3">
        <v>46014</v>
      </c>
      <c r="C984" t="s">
        <v>959</v>
      </c>
      <c r="D984" t="s">
        <v>17</v>
      </c>
      <c r="E984" t="s">
        <v>25</v>
      </c>
      <c r="F984" t="s">
        <v>29</v>
      </c>
      <c r="G984" t="s">
        <v>20</v>
      </c>
      <c r="H984" t="s">
        <v>40</v>
      </c>
      <c r="I984">
        <v>3</v>
      </c>
      <c r="J984" s="6">
        <v>1510.15</v>
      </c>
      <c r="K984" s="6">
        <v>4530.45</v>
      </c>
      <c r="L984" t="s">
        <v>30</v>
      </c>
      <c r="M984" t="s">
        <v>80</v>
      </c>
      <c r="N984" s="3">
        <v>46103</v>
      </c>
      <c r="O984" s="6">
        <v>4530.45</v>
      </c>
    </row>
    <row r="985" spans="1:15" x14ac:dyDescent="0.3">
      <c r="A985" t="s">
        <v>1036</v>
      </c>
      <c r="B985" s="3">
        <v>46015</v>
      </c>
      <c r="C985" t="s">
        <v>959</v>
      </c>
      <c r="D985" t="s">
        <v>24</v>
      </c>
      <c r="E985" t="s">
        <v>25</v>
      </c>
      <c r="F985" t="s">
        <v>33</v>
      </c>
      <c r="G985" t="s">
        <v>39</v>
      </c>
      <c r="H985" t="s">
        <v>45</v>
      </c>
      <c r="I985">
        <v>5</v>
      </c>
      <c r="J985" s="6">
        <v>948</v>
      </c>
      <c r="K985" s="6">
        <v>4740</v>
      </c>
      <c r="L985" t="s">
        <v>30</v>
      </c>
      <c r="M985" t="s">
        <v>31</v>
      </c>
      <c r="N985" s="3">
        <v>46153</v>
      </c>
      <c r="O985" s="6">
        <v>4740</v>
      </c>
    </row>
    <row r="986" spans="1:15" x14ac:dyDescent="0.3">
      <c r="A986" t="s">
        <v>1037</v>
      </c>
      <c r="B986" s="3">
        <v>46015</v>
      </c>
      <c r="C986" t="s">
        <v>959</v>
      </c>
      <c r="D986" t="s">
        <v>17</v>
      </c>
      <c r="E986" t="s">
        <v>28</v>
      </c>
      <c r="F986" t="s">
        <v>33</v>
      </c>
      <c r="G986" t="s">
        <v>39</v>
      </c>
      <c r="H986" t="s">
        <v>21</v>
      </c>
      <c r="I986">
        <v>6</v>
      </c>
      <c r="J986" s="6">
        <v>1632.95</v>
      </c>
      <c r="K986" s="6">
        <v>9797.7000000000007</v>
      </c>
      <c r="L986" t="s">
        <v>22</v>
      </c>
      <c r="M986" t="s">
        <v>22</v>
      </c>
      <c r="N986" s="3">
        <v>46203</v>
      </c>
      <c r="O986" s="6">
        <v>9797.7000000000007</v>
      </c>
    </row>
    <row r="987" spans="1:15" x14ac:dyDescent="0.3">
      <c r="A987" t="s">
        <v>1038</v>
      </c>
      <c r="B987" s="3">
        <v>46015</v>
      </c>
      <c r="C987" t="s">
        <v>959</v>
      </c>
      <c r="D987" t="s">
        <v>49</v>
      </c>
      <c r="E987" t="s">
        <v>25</v>
      </c>
      <c r="F987" t="s">
        <v>33</v>
      </c>
      <c r="G987" t="s">
        <v>20</v>
      </c>
      <c r="H987" t="s">
        <v>40</v>
      </c>
      <c r="I987">
        <v>6</v>
      </c>
      <c r="J987" s="6">
        <v>462.41</v>
      </c>
      <c r="K987" s="6">
        <v>2774.46</v>
      </c>
      <c r="L987" t="s">
        <v>22</v>
      </c>
      <c r="M987" t="s">
        <v>22</v>
      </c>
      <c r="N987" s="3">
        <v>46203</v>
      </c>
      <c r="O987" s="6">
        <v>2774.46</v>
      </c>
    </row>
    <row r="988" spans="1:15" x14ac:dyDescent="0.3">
      <c r="A988" t="s">
        <v>1039</v>
      </c>
      <c r="B988" s="3">
        <v>46015</v>
      </c>
      <c r="C988" t="s">
        <v>959</v>
      </c>
      <c r="D988" t="s">
        <v>49</v>
      </c>
      <c r="E988" t="s">
        <v>25</v>
      </c>
      <c r="F988" t="s">
        <v>51</v>
      </c>
      <c r="G988" t="s">
        <v>39</v>
      </c>
      <c r="H988" t="s">
        <v>21</v>
      </c>
      <c r="I988">
        <v>6</v>
      </c>
      <c r="J988" s="6">
        <v>509.68</v>
      </c>
      <c r="K988" s="6">
        <v>3058.08</v>
      </c>
      <c r="L988" t="s">
        <v>22</v>
      </c>
      <c r="M988" t="s">
        <v>22</v>
      </c>
      <c r="N988" s="3">
        <v>46203</v>
      </c>
      <c r="O988" s="6">
        <v>3058.08</v>
      </c>
    </row>
    <row r="989" spans="1:15" x14ac:dyDescent="0.3">
      <c r="A989" t="s">
        <v>1040</v>
      </c>
      <c r="B989" s="3">
        <v>46016</v>
      </c>
      <c r="C989" t="s">
        <v>959</v>
      </c>
      <c r="D989" t="s">
        <v>24</v>
      </c>
      <c r="E989" t="s">
        <v>18</v>
      </c>
      <c r="F989" t="s">
        <v>19</v>
      </c>
      <c r="G989" t="s">
        <v>39</v>
      </c>
      <c r="H989" t="s">
        <v>21</v>
      </c>
      <c r="I989">
        <v>3</v>
      </c>
      <c r="J989" s="6">
        <v>879.48</v>
      </c>
      <c r="K989" s="6">
        <v>2638.44</v>
      </c>
      <c r="L989" t="s">
        <v>30</v>
      </c>
      <c r="M989" t="s">
        <v>41</v>
      </c>
      <c r="N989" s="3">
        <v>46097</v>
      </c>
      <c r="O989" s="6">
        <v>2638.44</v>
      </c>
    </row>
    <row r="990" spans="1:15" x14ac:dyDescent="0.3">
      <c r="A990" t="s">
        <v>1041</v>
      </c>
      <c r="B990" s="3">
        <v>46017</v>
      </c>
      <c r="C990" t="s">
        <v>959</v>
      </c>
      <c r="D990" t="s">
        <v>49</v>
      </c>
      <c r="E990" t="s">
        <v>25</v>
      </c>
      <c r="F990" t="s">
        <v>19</v>
      </c>
      <c r="G990" t="s">
        <v>20</v>
      </c>
      <c r="H990" t="s">
        <v>34</v>
      </c>
      <c r="I990">
        <v>3</v>
      </c>
      <c r="J990" s="6">
        <v>451.86</v>
      </c>
      <c r="K990" s="6">
        <v>1355.58</v>
      </c>
      <c r="L990" t="s">
        <v>30</v>
      </c>
      <c r="M990" t="s">
        <v>36</v>
      </c>
      <c r="N990" s="3">
        <v>46094</v>
      </c>
      <c r="O990" s="6">
        <v>1355.58</v>
      </c>
    </row>
    <row r="991" spans="1:15" x14ac:dyDescent="0.3">
      <c r="A991" t="s">
        <v>1042</v>
      </c>
      <c r="B991" s="3">
        <v>46018</v>
      </c>
      <c r="C991" t="s">
        <v>959</v>
      </c>
      <c r="D991" t="s">
        <v>24</v>
      </c>
      <c r="E991" t="s">
        <v>28</v>
      </c>
      <c r="F991" t="s">
        <v>19</v>
      </c>
      <c r="G991" t="s">
        <v>39</v>
      </c>
      <c r="H991" t="s">
        <v>45</v>
      </c>
      <c r="I991">
        <v>6</v>
      </c>
      <c r="J991" s="6">
        <v>848.89</v>
      </c>
      <c r="K991" s="6">
        <v>5093.34</v>
      </c>
      <c r="L991" t="s">
        <v>22</v>
      </c>
      <c r="M991" t="s">
        <v>22</v>
      </c>
      <c r="N991" s="3">
        <v>46203</v>
      </c>
      <c r="O991" s="6">
        <v>5093.34</v>
      </c>
    </row>
    <row r="992" spans="1:15" x14ac:dyDescent="0.3">
      <c r="A992" t="s">
        <v>1043</v>
      </c>
      <c r="B992" s="3">
        <v>46019</v>
      </c>
      <c r="C992" t="s">
        <v>959</v>
      </c>
      <c r="D992" t="s">
        <v>24</v>
      </c>
      <c r="E992" t="s">
        <v>25</v>
      </c>
      <c r="F992" t="s">
        <v>29</v>
      </c>
      <c r="G992" t="s">
        <v>20</v>
      </c>
      <c r="H992" t="s">
        <v>21</v>
      </c>
      <c r="I992">
        <v>6</v>
      </c>
      <c r="J992" s="6">
        <v>978.35</v>
      </c>
      <c r="K992" s="6">
        <v>5870.1</v>
      </c>
      <c r="L992" t="s">
        <v>22</v>
      </c>
      <c r="M992" t="s">
        <v>22</v>
      </c>
      <c r="N992" s="3">
        <v>46203</v>
      </c>
      <c r="O992" s="6">
        <v>5870.1</v>
      </c>
    </row>
    <row r="993" spans="1:15" x14ac:dyDescent="0.3">
      <c r="A993" t="s">
        <v>1044</v>
      </c>
      <c r="B993" s="3">
        <v>46019</v>
      </c>
      <c r="C993" t="s">
        <v>959</v>
      </c>
      <c r="D993" t="s">
        <v>17</v>
      </c>
      <c r="E993" t="s">
        <v>25</v>
      </c>
      <c r="F993" t="s">
        <v>33</v>
      </c>
      <c r="G993" t="s">
        <v>39</v>
      </c>
      <c r="H993" t="s">
        <v>40</v>
      </c>
      <c r="I993">
        <v>6</v>
      </c>
      <c r="J993" s="6">
        <v>1490</v>
      </c>
      <c r="K993" s="6">
        <v>8940</v>
      </c>
      <c r="L993" t="s">
        <v>22</v>
      </c>
      <c r="M993" t="s">
        <v>22</v>
      </c>
      <c r="N993" s="3">
        <v>46203</v>
      </c>
      <c r="O993" s="6">
        <v>8940</v>
      </c>
    </row>
    <row r="994" spans="1:15" x14ac:dyDescent="0.3">
      <c r="A994" t="s">
        <v>1045</v>
      </c>
      <c r="B994" s="3">
        <v>46020</v>
      </c>
      <c r="C994" t="s">
        <v>959</v>
      </c>
      <c r="D994" t="s">
        <v>24</v>
      </c>
      <c r="E994" t="s">
        <v>25</v>
      </c>
      <c r="F994" t="s">
        <v>29</v>
      </c>
      <c r="G994" t="s">
        <v>39</v>
      </c>
      <c r="H994" t="s">
        <v>21</v>
      </c>
      <c r="I994">
        <v>6</v>
      </c>
      <c r="J994" s="6">
        <v>921.06</v>
      </c>
      <c r="K994" s="6">
        <v>5526.36</v>
      </c>
      <c r="L994" t="s">
        <v>22</v>
      </c>
      <c r="M994" t="s">
        <v>22</v>
      </c>
      <c r="N994" s="3">
        <v>46203</v>
      </c>
      <c r="O994" s="6">
        <v>5526.36</v>
      </c>
    </row>
    <row r="995" spans="1:15" x14ac:dyDescent="0.3">
      <c r="A995" t="s">
        <v>1046</v>
      </c>
      <c r="B995" s="3">
        <v>46020</v>
      </c>
      <c r="C995" t="s">
        <v>959</v>
      </c>
      <c r="D995" t="s">
        <v>24</v>
      </c>
      <c r="E995" t="s">
        <v>50</v>
      </c>
      <c r="F995" t="s">
        <v>51</v>
      </c>
      <c r="G995" t="s">
        <v>39</v>
      </c>
      <c r="H995" t="s">
        <v>45</v>
      </c>
      <c r="I995">
        <v>6</v>
      </c>
      <c r="J995" s="6">
        <v>956.68</v>
      </c>
      <c r="K995" s="6">
        <v>5740.08</v>
      </c>
      <c r="L995" t="s">
        <v>22</v>
      </c>
      <c r="M995" t="s">
        <v>22</v>
      </c>
      <c r="N995" s="3">
        <v>46203</v>
      </c>
      <c r="O995" s="6">
        <v>5740.08</v>
      </c>
    </row>
    <row r="996" spans="1:15" x14ac:dyDescent="0.3">
      <c r="A996" t="s">
        <v>1047</v>
      </c>
      <c r="B996" s="3">
        <v>46021</v>
      </c>
      <c r="C996" t="s">
        <v>959</v>
      </c>
      <c r="D996" t="s">
        <v>49</v>
      </c>
      <c r="E996" t="s">
        <v>25</v>
      </c>
      <c r="F996" t="s">
        <v>38</v>
      </c>
      <c r="G996" t="s">
        <v>39</v>
      </c>
      <c r="H996" t="s">
        <v>34</v>
      </c>
      <c r="I996">
        <v>6</v>
      </c>
      <c r="J996" s="6">
        <v>490.87</v>
      </c>
      <c r="K996" s="6">
        <v>2945.22</v>
      </c>
      <c r="L996" t="s">
        <v>22</v>
      </c>
      <c r="M996" t="s">
        <v>22</v>
      </c>
      <c r="N996" s="3">
        <v>46203</v>
      </c>
      <c r="O996" s="6">
        <v>2945.22</v>
      </c>
    </row>
    <row r="997" spans="1:15" x14ac:dyDescent="0.3">
      <c r="A997" t="s">
        <v>1048</v>
      </c>
      <c r="B997" s="3">
        <v>46021</v>
      </c>
      <c r="C997" t="s">
        <v>959</v>
      </c>
      <c r="D997" t="s">
        <v>17</v>
      </c>
      <c r="E997" t="s">
        <v>50</v>
      </c>
      <c r="F997" t="s">
        <v>33</v>
      </c>
      <c r="G997" t="s">
        <v>20</v>
      </c>
      <c r="H997" t="s">
        <v>21</v>
      </c>
      <c r="I997">
        <v>6</v>
      </c>
      <c r="J997" s="6">
        <v>1561.78</v>
      </c>
      <c r="K997" s="6">
        <v>9370.68</v>
      </c>
      <c r="L997" t="s">
        <v>22</v>
      </c>
      <c r="M997" t="s">
        <v>22</v>
      </c>
      <c r="N997" s="3">
        <v>46203</v>
      </c>
      <c r="O997" s="6">
        <v>9370.68</v>
      </c>
    </row>
    <row r="998" spans="1:15" x14ac:dyDescent="0.3">
      <c r="A998" t="s">
        <v>1049</v>
      </c>
      <c r="B998" s="3">
        <v>46021</v>
      </c>
      <c r="C998" t="s">
        <v>959</v>
      </c>
      <c r="D998" t="s">
        <v>24</v>
      </c>
      <c r="E998" t="s">
        <v>25</v>
      </c>
      <c r="F998" t="s">
        <v>29</v>
      </c>
      <c r="G998" t="s">
        <v>39</v>
      </c>
      <c r="H998" t="s">
        <v>21</v>
      </c>
      <c r="I998">
        <v>3</v>
      </c>
      <c r="J998" s="6">
        <v>945.76</v>
      </c>
      <c r="K998" s="6">
        <v>2837.28</v>
      </c>
      <c r="L998" t="s">
        <v>30</v>
      </c>
      <c r="M998" t="s">
        <v>80</v>
      </c>
      <c r="N998" s="3">
        <v>46104</v>
      </c>
      <c r="O998" s="6">
        <v>2837.28</v>
      </c>
    </row>
    <row r="999" spans="1:15" x14ac:dyDescent="0.3">
      <c r="A999" t="s">
        <v>1050</v>
      </c>
      <c r="B999" s="3">
        <v>46021</v>
      </c>
      <c r="C999" t="s">
        <v>959</v>
      </c>
      <c r="D999" t="s">
        <v>24</v>
      </c>
      <c r="E999" t="s">
        <v>25</v>
      </c>
      <c r="F999" t="s">
        <v>29</v>
      </c>
      <c r="G999" t="s">
        <v>39</v>
      </c>
      <c r="H999" t="s">
        <v>40</v>
      </c>
      <c r="I999">
        <v>6</v>
      </c>
      <c r="J999" s="6">
        <v>960.09</v>
      </c>
      <c r="K999" s="6">
        <v>5760.54</v>
      </c>
      <c r="L999" t="s">
        <v>22</v>
      </c>
      <c r="M999" t="s">
        <v>22</v>
      </c>
      <c r="N999" s="3">
        <v>46203</v>
      </c>
      <c r="O999" s="6">
        <v>5760.54</v>
      </c>
    </row>
    <row r="1000" spans="1:15" x14ac:dyDescent="0.3">
      <c r="A1000" t="s">
        <v>1051</v>
      </c>
      <c r="B1000" s="3">
        <v>46022</v>
      </c>
      <c r="C1000" t="s">
        <v>959</v>
      </c>
      <c r="D1000" t="s">
        <v>17</v>
      </c>
      <c r="E1000" t="s">
        <v>50</v>
      </c>
      <c r="F1000" t="s">
        <v>29</v>
      </c>
      <c r="G1000" t="s">
        <v>39</v>
      </c>
      <c r="H1000" t="s">
        <v>21</v>
      </c>
      <c r="I1000">
        <v>6</v>
      </c>
      <c r="J1000" s="6">
        <v>1529.08</v>
      </c>
      <c r="K1000" s="6">
        <v>9174.48</v>
      </c>
      <c r="L1000" t="s">
        <v>22</v>
      </c>
      <c r="M1000" t="s">
        <v>22</v>
      </c>
      <c r="N1000" s="3">
        <v>46203</v>
      </c>
      <c r="O1000" s="6">
        <v>9174.48</v>
      </c>
    </row>
    <row r="1001" spans="1:15" x14ac:dyDescent="0.3">
      <c r="A1001" t="s">
        <v>1052</v>
      </c>
      <c r="B1001" s="3">
        <v>46022</v>
      </c>
      <c r="C1001" t="s">
        <v>959</v>
      </c>
      <c r="D1001" t="s">
        <v>24</v>
      </c>
      <c r="E1001" t="s">
        <v>28</v>
      </c>
      <c r="F1001" t="s">
        <v>29</v>
      </c>
      <c r="G1001" t="s">
        <v>39</v>
      </c>
      <c r="H1001" t="s">
        <v>40</v>
      </c>
      <c r="I1001">
        <v>6</v>
      </c>
      <c r="J1001" s="6">
        <v>958.92</v>
      </c>
      <c r="K1001" s="6">
        <v>5753.52</v>
      </c>
      <c r="L1001" t="s">
        <v>22</v>
      </c>
      <c r="M1001" t="s">
        <v>22</v>
      </c>
      <c r="N1001" s="3">
        <v>46203</v>
      </c>
      <c r="O1001" s="6">
        <v>5753.52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69489-D53D-4CBC-AF16-BDBBF12B011E}">
  <dimension ref="A1:B9"/>
  <sheetViews>
    <sheetView workbookViewId="0">
      <selection activeCell="C15" sqref="C15"/>
    </sheetView>
  </sheetViews>
  <sheetFormatPr defaultRowHeight="14.4" x14ac:dyDescent="0.3"/>
  <cols>
    <col min="1" max="1" width="28.21875" customWidth="1"/>
    <col min="2" max="2" width="19.5546875" customWidth="1"/>
  </cols>
  <sheetData>
    <row r="1" spans="1:2" ht="22.2" customHeight="1" x14ac:dyDescent="0.35">
      <c r="A1" s="10" t="s">
        <v>1053</v>
      </c>
      <c r="B1" s="10" t="s">
        <v>1054</v>
      </c>
    </row>
    <row r="2" spans="1:2" x14ac:dyDescent="0.3">
      <c r="A2" s="11" t="s">
        <v>1055</v>
      </c>
      <c r="B2" s="11">
        <f>COUNTA(CustomerData[Customer ID])</f>
        <v>1000</v>
      </c>
    </row>
    <row r="3" spans="1:2" x14ac:dyDescent="0.3">
      <c r="A3" s="11" t="s">
        <v>1057</v>
      </c>
      <c r="B3" s="11">
        <f>COUNTIF(CustomerData[Churn Status],"Churned")</f>
        <v>234</v>
      </c>
    </row>
    <row r="4" spans="1:2" x14ac:dyDescent="0.3">
      <c r="A4" s="11" t="s">
        <v>1058</v>
      </c>
      <c r="B4" s="11">
        <f>COUNTIF(CustomerData[Churn Status],"Active")</f>
        <v>766</v>
      </c>
    </row>
    <row r="5" spans="1:2" x14ac:dyDescent="0.3">
      <c r="A5" s="11" t="s">
        <v>1059</v>
      </c>
      <c r="B5" s="12">
        <v>0.23400000000000001</v>
      </c>
    </row>
    <row r="6" spans="1:2" x14ac:dyDescent="0.3">
      <c r="A6" s="11" t="s">
        <v>1060</v>
      </c>
      <c r="B6" s="12">
        <v>0.76600000000000001</v>
      </c>
    </row>
    <row r="7" spans="1:2" x14ac:dyDescent="0.3">
      <c r="A7" s="11" t="s">
        <v>1061</v>
      </c>
      <c r="B7" s="13">
        <f>AVERAGE(CustomerData[Tenure (Months)])</f>
        <v>10.611000000000001</v>
      </c>
    </row>
    <row r="8" spans="1:2" x14ac:dyDescent="0.3">
      <c r="A8" s="11" t="s">
        <v>1062</v>
      </c>
      <c r="B8" s="13">
        <f>AVERAGE(CustomerData[Monthly Charges])</f>
        <v>885.66565999999955</v>
      </c>
    </row>
    <row r="9" spans="1:2" x14ac:dyDescent="0.3">
      <c r="A9" s="11" t="s">
        <v>1063</v>
      </c>
      <c r="B9" s="13">
        <f>AVERAGE(CustomerData[Customer Lifetime Value])</f>
        <v>9436.6317900000067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1025-7447-4081-981F-76EA700E5BEF}">
  <dimension ref="A1:L123"/>
  <sheetViews>
    <sheetView topLeftCell="A114" workbookViewId="0">
      <selection activeCell="B3" sqref="B3"/>
    </sheetView>
  </sheetViews>
  <sheetFormatPr defaultRowHeight="14.4" x14ac:dyDescent="0.3"/>
  <cols>
    <col min="1" max="1" width="12.5546875" bestFit="1" customWidth="1"/>
    <col min="2" max="2" width="28.44140625" bestFit="1" customWidth="1"/>
    <col min="3" max="3" width="8.21875" bestFit="1" customWidth="1"/>
    <col min="4" max="4" width="10.77734375" bestFit="1" customWidth="1"/>
    <col min="5" max="5" width="9.33203125" bestFit="1" customWidth="1"/>
    <col min="6" max="7" width="19.33203125" bestFit="1" customWidth="1"/>
    <col min="8" max="8" width="15.5546875" bestFit="1" customWidth="1"/>
    <col min="9" max="9" width="8.21875" bestFit="1" customWidth="1"/>
    <col min="10" max="10" width="10.77734375" bestFit="1" customWidth="1"/>
    <col min="11" max="11" width="10.77734375" customWidth="1"/>
    <col min="12" max="12" width="12.5546875" customWidth="1"/>
    <col min="13" max="13" width="19.33203125" bestFit="1" customWidth="1"/>
    <col min="14" max="14" width="15.5546875" bestFit="1" customWidth="1"/>
    <col min="15" max="15" width="19.33203125" bestFit="1" customWidth="1"/>
    <col min="16" max="16" width="15.5546875" bestFit="1" customWidth="1"/>
    <col min="17" max="17" width="8.21875" bestFit="1" customWidth="1"/>
    <col min="18" max="18" width="10.77734375" bestFit="1" customWidth="1"/>
  </cols>
  <sheetData>
    <row r="1" spans="1:12" ht="15.6" customHeight="1" x14ac:dyDescent="0.3">
      <c r="A1" s="14" t="s">
        <v>1064</v>
      </c>
      <c r="B1" s="15" t="s">
        <v>1066</v>
      </c>
      <c r="I1" s="14" t="s">
        <v>1066</v>
      </c>
      <c r="J1" s="14" t="s">
        <v>1067</v>
      </c>
      <c r="K1" s="15"/>
      <c r="L1" s="15"/>
    </row>
    <row r="2" spans="1:12" x14ac:dyDescent="0.3">
      <c r="A2" s="15" t="s">
        <v>22</v>
      </c>
      <c r="B2" s="15">
        <v>766</v>
      </c>
      <c r="I2" s="14" t="s">
        <v>1064</v>
      </c>
      <c r="J2" s="15" t="s">
        <v>22</v>
      </c>
      <c r="K2" s="15" t="s">
        <v>30</v>
      </c>
      <c r="L2" s="15" t="s">
        <v>1065</v>
      </c>
    </row>
    <row r="3" spans="1:12" x14ac:dyDescent="0.3">
      <c r="A3" s="15" t="s">
        <v>30</v>
      </c>
      <c r="B3" s="15">
        <v>234</v>
      </c>
      <c r="I3" s="15" t="s">
        <v>49</v>
      </c>
      <c r="J3" s="15">
        <v>266</v>
      </c>
      <c r="K3" s="15">
        <v>86</v>
      </c>
      <c r="L3" s="15">
        <v>352</v>
      </c>
    </row>
    <row r="4" spans="1:12" x14ac:dyDescent="0.3">
      <c r="A4" s="15" t="s">
        <v>1065</v>
      </c>
      <c r="B4" s="15">
        <v>1000</v>
      </c>
      <c r="I4" s="15" t="s">
        <v>17</v>
      </c>
      <c r="J4" s="15">
        <v>172</v>
      </c>
      <c r="K4" s="15">
        <v>42</v>
      </c>
      <c r="L4" s="15">
        <v>214</v>
      </c>
    </row>
    <row r="5" spans="1:12" x14ac:dyDescent="0.3">
      <c r="I5" s="15" t="s">
        <v>24</v>
      </c>
      <c r="J5" s="15">
        <v>328</v>
      </c>
      <c r="K5" s="15">
        <v>106</v>
      </c>
      <c r="L5" s="15">
        <v>434</v>
      </c>
    </row>
    <row r="6" spans="1:12" x14ac:dyDescent="0.3">
      <c r="I6" s="15" t="s">
        <v>1065</v>
      </c>
      <c r="J6" s="15">
        <v>766</v>
      </c>
      <c r="K6" s="15">
        <v>234</v>
      </c>
      <c r="L6" s="15">
        <v>1000</v>
      </c>
    </row>
    <row r="25" spans="1:12" x14ac:dyDescent="0.3">
      <c r="A25" s="8" t="s">
        <v>1066</v>
      </c>
      <c r="B25" s="8" t="s">
        <v>1067</v>
      </c>
    </row>
    <row r="26" spans="1:12" x14ac:dyDescent="0.3">
      <c r="A26" s="8" t="s">
        <v>1064</v>
      </c>
      <c r="B26" t="s">
        <v>22</v>
      </c>
      <c r="C26" t="s">
        <v>30</v>
      </c>
      <c r="D26" t="s">
        <v>1065</v>
      </c>
    </row>
    <row r="27" spans="1:12" x14ac:dyDescent="0.3">
      <c r="A27" s="9" t="s">
        <v>50</v>
      </c>
      <c r="B27">
        <v>119</v>
      </c>
      <c r="C27">
        <v>32</v>
      </c>
      <c r="D27">
        <v>151</v>
      </c>
      <c r="I27" s="8" t="s">
        <v>1066</v>
      </c>
      <c r="J27" s="8" t="s">
        <v>1067</v>
      </c>
    </row>
    <row r="28" spans="1:12" x14ac:dyDescent="0.3">
      <c r="A28" s="9" t="s">
        <v>28</v>
      </c>
      <c r="B28">
        <v>199</v>
      </c>
      <c r="C28">
        <v>70</v>
      </c>
      <c r="D28">
        <v>269</v>
      </c>
      <c r="I28" s="8" t="s">
        <v>1064</v>
      </c>
      <c r="J28" t="s">
        <v>22</v>
      </c>
      <c r="K28" t="s">
        <v>30</v>
      </c>
      <c r="L28" t="s">
        <v>1065</v>
      </c>
    </row>
    <row r="29" spans="1:12" x14ac:dyDescent="0.3">
      <c r="A29" s="9" t="s">
        <v>25</v>
      </c>
      <c r="B29">
        <v>293</v>
      </c>
      <c r="C29">
        <v>94</v>
      </c>
      <c r="D29">
        <v>387</v>
      </c>
      <c r="I29" s="9" t="s">
        <v>26</v>
      </c>
      <c r="J29">
        <v>79</v>
      </c>
      <c r="K29">
        <v>18</v>
      </c>
      <c r="L29">
        <v>97</v>
      </c>
    </row>
    <row r="30" spans="1:12" x14ac:dyDescent="0.3">
      <c r="A30" s="9" t="s">
        <v>18</v>
      </c>
      <c r="B30">
        <v>155</v>
      </c>
      <c r="C30">
        <v>38</v>
      </c>
      <c r="D30">
        <v>193</v>
      </c>
      <c r="I30" s="9" t="s">
        <v>39</v>
      </c>
      <c r="J30">
        <v>469</v>
      </c>
      <c r="K30">
        <v>167</v>
      </c>
      <c r="L30">
        <v>636</v>
      </c>
    </row>
    <row r="31" spans="1:12" x14ac:dyDescent="0.3">
      <c r="A31" s="9" t="s">
        <v>1065</v>
      </c>
      <c r="B31">
        <v>766</v>
      </c>
      <c r="C31">
        <v>234</v>
      </c>
      <c r="D31">
        <v>1000</v>
      </c>
      <c r="I31" s="9" t="s">
        <v>20</v>
      </c>
      <c r="J31">
        <v>218</v>
      </c>
      <c r="K31">
        <v>49</v>
      </c>
      <c r="L31">
        <v>267</v>
      </c>
    </row>
    <row r="32" spans="1:12" x14ac:dyDescent="0.3">
      <c r="I32" s="9" t="s">
        <v>1065</v>
      </c>
      <c r="J32">
        <v>766</v>
      </c>
      <c r="K32">
        <v>234</v>
      </c>
      <c r="L32">
        <v>1000</v>
      </c>
    </row>
    <row r="50" spans="1:9" x14ac:dyDescent="0.3">
      <c r="A50" s="8" t="s">
        <v>1066</v>
      </c>
      <c r="B50" s="8" t="s">
        <v>1067</v>
      </c>
    </row>
    <row r="51" spans="1:9" x14ac:dyDescent="0.3">
      <c r="A51" s="8" t="s">
        <v>1064</v>
      </c>
      <c r="B51" t="s">
        <v>22</v>
      </c>
      <c r="C51" t="s">
        <v>30</v>
      </c>
      <c r="D51" t="s">
        <v>1065</v>
      </c>
      <c r="H51" s="8" t="s">
        <v>1064</v>
      </c>
      <c r="I51" t="s">
        <v>1066</v>
      </c>
    </row>
    <row r="52" spans="1:9" x14ac:dyDescent="0.3">
      <c r="A52" s="9" t="s">
        <v>33</v>
      </c>
      <c r="B52">
        <v>129</v>
      </c>
      <c r="C52">
        <v>43</v>
      </c>
      <c r="D52">
        <v>172</v>
      </c>
      <c r="H52" s="9" t="s">
        <v>80</v>
      </c>
      <c r="I52">
        <v>42</v>
      </c>
    </row>
    <row r="53" spans="1:9" x14ac:dyDescent="0.3">
      <c r="A53" s="9" t="s">
        <v>29</v>
      </c>
      <c r="B53">
        <v>226</v>
      </c>
      <c r="C53">
        <v>72</v>
      </c>
      <c r="D53">
        <v>298</v>
      </c>
      <c r="H53" s="9" t="s">
        <v>36</v>
      </c>
      <c r="I53">
        <v>51</v>
      </c>
    </row>
    <row r="54" spans="1:9" x14ac:dyDescent="0.3">
      <c r="A54" s="9" t="s">
        <v>19</v>
      </c>
      <c r="B54">
        <v>200</v>
      </c>
      <c r="C54">
        <v>60</v>
      </c>
      <c r="D54">
        <v>260</v>
      </c>
      <c r="H54" s="9" t="s">
        <v>31</v>
      </c>
      <c r="I54">
        <v>64</v>
      </c>
    </row>
    <row r="55" spans="1:9" x14ac:dyDescent="0.3">
      <c r="A55" s="9" t="s">
        <v>38</v>
      </c>
      <c r="B55">
        <v>122</v>
      </c>
      <c r="C55">
        <v>40</v>
      </c>
      <c r="D55">
        <v>162</v>
      </c>
      <c r="H55" s="9" t="s">
        <v>43</v>
      </c>
      <c r="I55">
        <v>48</v>
      </c>
    </row>
    <row r="56" spans="1:9" x14ac:dyDescent="0.3">
      <c r="A56" s="9" t="s">
        <v>51</v>
      </c>
      <c r="B56">
        <v>89</v>
      </c>
      <c r="C56">
        <v>19</v>
      </c>
      <c r="D56">
        <v>108</v>
      </c>
      <c r="H56" s="9" t="s">
        <v>41</v>
      </c>
      <c r="I56">
        <v>29</v>
      </c>
    </row>
    <row r="57" spans="1:9" x14ac:dyDescent="0.3">
      <c r="A57" s="9" t="s">
        <v>1065</v>
      </c>
      <c r="B57">
        <v>766</v>
      </c>
      <c r="C57">
        <v>234</v>
      </c>
      <c r="D57">
        <v>1000</v>
      </c>
      <c r="H57" s="9" t="s">
        <v>1065</v>
      </c>
      <c r="I57">
        <v>234</v>
      </c>
    </row>
    <row r="77" spans="1:10" x14ac:dyDescent="0.3">
      <c r="A77" s="15"/>
      <c r="B77" s="15"/>
      <c r="C77" s="15"/>
      <c r="D77" s="15"/>
      <c r="G77" s="14" t="s">
        <v>1066</v>
      </c>
      <c r="H77" s="14" t="s">
        <v>1067</v>
      </c>
      <c r="I77" s="15"/>
      <c r="J77" s="15"/>
    </row>
    <row r="78" spans="1:10" x14ac:dyDescent="0.3">
      <c r="A78" s="14" t="s">
        <v>1066</v>
      </c>
      <c r="B78" s="14" t="s">
        <v>1067</v>
      </c>
      <c r="C78" s="15"/>
      <c r="D78" s="15"/>
      <c r="G78" s="14" t="s">
        <v>1064</v>
      </c>
      <c r="H78" s="15" t="s">
        <v>22</v>
      </c>
      <c r="I78" s="15" t="s">
        <v>30</v>
      </c>
      <c r="J78" s="15" t="s">
        <v>1065</v>
      </c>
    </row>
    <row r="79" spans="1:10" x14ac:dyDescent="0.3">
      <c r="A79" s="14" t="s">
        <v>1064</v>
      </c>
      <c r="B79" s="15" t="s">
        <v>22</v>
      </c>
      <c r="C79" s="15" t="s">
        <v>30</v>
      </c>
      <c r="D79" s="15" t="s">
        <v>1065</v>
      </c>
      <c r="G79" s="15">
        <v>1</v>
      </c>
      <c r="H79" s="15"/>
      <c r="I79" s="15">
        <v>18</v>
      </c>
      <c r="J79" s="15">
        <v>18</v>
      </c>
    </row>
    <row r="80" spans="1:10" x14ac:dyDescent="0.3">
      <c r="A80" s="15" t="s">
        <v>16</v>
      </c>
      <c r="B80" s="15">
        <v>48</v>
      </c>
      <c r="C80" s="15">
        <v>23</v>
      </c>
      <c r="D80" s="15">
        <v>71</v>
      </c>
      <c r="G80" s="15">
        <v>2</v>
      </c>
      <c r="H80" s="15"/>
      <c r="I80" s="15">
        <v>16</v>
      </c>
      <c r="J80" s="15">
        <v>16</v>
      </c>
    </row>
    <row r="81" spans="1:12" x14ac:dyDescent="0.3">
      <c r="A81" s="15" t="s">
        <v>114</v>
      </c>
      <c r="B81" s="15">
        <v>88</v>
      </c>
      <c r="C81" s="15">
        <v>17</v>
      </c>
      <c r="D81" s="15">
        <v>105</v>
      </c>
      <c r="G81" s="15">
        <v>3</v>
      </c>
      <c r="H81" s="15"/>
      <c r="I81" s="15">
        <v>25</v>
      </c>
      <c r="J81" s="15">
        <v>25</v>
      </c>
    </row>
    <row r="82" spans="1:12" x14ac:dyDescent="0.3">
      <c r="A82" s="15" t="s">
        <v>220</v>
      </c>
      <c r="B82" s="15">
        <v>52</v>
      </c>
      <c r="C82" s="15">
        <v>21</v>
      </c>
      <c r="D82" s="15">
        <v>73</v>
      </c>
      <c r="G82" s="15">
        <v>4</v>
      </c>
      <c r="H82" s="15"/>
      <c r="I82" s="15">
        <v>21</v>
      </c>
      <c r="J82" s="15">
        <v>21</v>
      </c>
    </row>
    <row r="83" spans="1:12" x14ac:dyDescent="0.3">
      <c r="A83" s="15" t="s">
        <v>294</v>
      </c>
      <c r="B83" s="15">
        <v>63</v>
      </c>
      <c r="C83" s="15">
        <v>19</v>
      </c>
      <c r="D83" s="15">
        <v>82</v>
      </c>
      <c r="G83" s="15">
        <v>5</v>
      </c>
      <c r="H83" s="15"/>
      <c r="I83" s="15">
        <v>30</v>
      </c>
      <c r="J83" s="15">
        <v>30</v>
      </c>
    </row>
    <row r="84" spans="1:12" x14ac:dyDescent="0.3">
      <c r="A84" s="15" t="s">
        <v>377</v>
      </c>
      <c r="B84" s="15">
        <v>51</v>
      </c>
      <c r="C84" s="15">
        <v>8</v>
      </c>
      <c r="D84" s="15">
        <v>59</v>
      </c>
      <c r="G84" s="15">
        <v>6</v>
      </c>
      <c r="H84" s="15">
        <v>38</v>
      </c>
      <c r="I84" s="15">
        <v>21</v>
      </c>
      <c r="J84" s="15">
        <v>59</v>
      </c>
      <c r="L84" s="15"/>
    </row>
    <row r="85" spans="1:12" x14ac:dyDescent="0.3">
      <c r="A85" s="15" t="s">
        <v>437</v>
      </c>
      <c r="B85" s="15">
        <v>68</v>
      </c>
      <c r="C85" s="15">
        <v>29</v>
      </c>
      <c r="D85" s="15">
        <v>97</v>
      </c>
      <c r="G85" s="15">
        <v>7</v>
      </c>
      <c r="H85" s="15">
        <v>61</v>
      </c>
      <c r="I85" s="15">
        <v>25</v>
      </c>
      <c r="J85" s="15">
        <v>86</v>
      </c>
      <c r="L85" s="15"/>
    </row>
    <row r="86" spans="1:12" x14ac:dyDescent="0.3">
      <c r="A86" s="15" t="s">
        <v>535</v>
      </c>
      <c r="B86" s="15">
        <v>71</v>
      </c>
      <c r="C86" s="15">
        <v>18</v>
      </c>
      <c r="D86" s="15">
        <v>89</v>
      </c>
      <c r="G86" s="15">
        <v>8</v>
      </c>
      <c r="H86" s="15">
        <v>60</v>
      </c>
      <c r="I86" s="15">
        <v>14</v>
      </c>
      <c r="J86" s="15">
        <v>74</v>
      </c>
      <c r="L86" s="15"/>
    </row>
    <row r="87" spans="1:12" x14ac:dyDescent="0.3">
      <c r="A87" s="15" t="s">
        <v>625</v>
      </c>
      <c r="B87" s="15">
        <v>64</v>
      </c>
      <c r="C87" s="15">
        <v>23</v>
      </c>
      <c r="D87" s="15">
        <v>87</v>
      </c>
      <c r="G87" s="15">
        <v>9</v>
      </c>
      <c r="H87" s="15">
        <v>75</v>
      </c>
      <c r="I87" s="15">
        <v>11</v>
      </c>
      <c r="J87" s="15">
        <v>86</v>
      </c>
      <c r="L87" s="15"/>
    </row>
    <row r="88" spans="1:12" x14ac:dyDescent="0.3">
      <c r="A88" s="15" t="s">
        <v>713</v>
      </c>
      <c r="B88" s="15">
        <v>62</v>
      </c>
      <c r="C88" s="15">
        <v>19</v>
      </c>
      <c r="D88" s="15">
        <v>81</v>
      </c>
      <c r="G88" s="15">
        <v>10</v>
      </c>
      <c r="H88" s="15">
        <v>63</v>
      </c>
      <c r="I88" s="15">
        <v>16</v>
      </c>
      <c r="J88" s="15">
        <v>79</v>
      </c>
      <c r="L88" s="15"/>
    </row>
    <row r="89" spans="1:12" x14ac:dyDescent="0.3">
      <c r="A89" s="15" t="s">
        <v>795</v>
      </c>
      <c r="B89" s="15">
        <v>78</v>
      </c>
      <c r="C89" s="15">
        <v>19</v>
      </c>
      <c r="D89" s="15">
        <v>97</v>
      </c>
      <c r="G89" s="15">
        <v>11</v>
      </c>
      <c r="H89" s="15">
        <v>65</v>
      </c>
      <c r="I89" s="15">
        <v>10</v>
      </c>
      <c r="J89" s="15">
        <v>75</v>
      </c>
      <c r="L89" s="15"/>
    </row>
    <row r="90" spans="1:12" x14ac:dyDescent="0.3">
      <c r="A90" s="15" t="s">
        <v>893</v>
      </c>
      <c r="B90" s="15">
        <v>46</v>
      </c>
      <c r="C90" s="15">
        <v>19</v>
      </c>
      <c r="D90" s="15">
        <v>65</v>
      </c>
      <c r="G90" s="15">
        <v>12</v>
      </c>
      <c r="H90" s="15">
        <v>67</v>
      </c>
      <c r="I90" s="15">
        <v>10</v>
      </c>
      <c r="J90" s="15">
        <v>77</v>
      </c>
      <c r="L90" s="15"/>
    </row>
    <row r="91" spans="1:12" x14ac:dyDescent="0.3">
      <c r="A91" s="15" t="s">
        <v>959</v>
      </c>
      <c r="B91" s="15">
        <v>75</v>
      </c>
      <c r="C91" s="15">
        <v>19</v>
      </c>
      <c r="D91" s="15">
        <v>94</v>
      </c>
      <c r="G91" s="15">
        <v>13</v>
      </c>
      <c r="H91" s="15">
        <v>63</v>
      </c>
      <c r="I91" s="15">
        <v>1</v>
      </c>
      <c r="J91" s="15">
        <v>64</v>
      </c>
      <c r="L91" s="15"/>
    </row>
    <row r="92" spans="1:12" x14ac:dyDescent="0.3">
      <c r="A92" s="15" t="s">
        <v>1065</v>
      </c>
      <c r="B92" s="15">
        <v>766</v>
      </c>
      <c r="C92" s="15">
        <v>234</v>
      </c>
      <c r="D92" s="15">
        <v>1000</v>
      </c>
      <c r="G92" s="15">
        <v>14</v>
      </c>
      <c r="H92" s="15">
        <v>62</v>
      </c>
      <c r="I92" s="15">
        <v>8</v>
      </c>
      <c r="J92" s="15">
        <v>70</v>
      </c>
      <c r="L92" s="15"/>
    </row>
    <row r="93" spans="1:12" x14ac:dyDescent="0.3">
      <c r="G93" s="15">
        <v>15</v>
      </c>
      <c r="H93" s="15">
        <v>47</v>
      </c>
      <c r="I93" s="15">
        <v>4</v>
      </c>
      <c r="J93" s="15">
        <v>51</v>
      </c>
      <c r="L93" s="15"/>
    </row>
    <row r="94" spans="1:12" x14ac:dyDescent="0.3">
      <c r="G94" s="15">
        <v>16</v>
      </c>
      <c r="H94" s="15">
        <v>78</v>
      </c>
      <c r="I94" s="15">
        <v>2</v>
      </c>
      <c r="J94" s="15">
        <v>80</v>
      </c>
      <c r="L94" s="15"/>
    </row>
    <row r="95" spans="1:12" x14ac:dyDescent="0.3">
      <c r="G95" s="15">
        <v>17</v>
      </c>
      <c r="H95" s="15">
        <v>66</v>
      </c>
      <c r="I95" s="15">
        <v>2</v>
      </c>
      <c r="J95" s="15">
        <v>68</v>
      </c>
      <c r="L95" s="15"/>
    </row>
    <row r="96" spans="1:12" x14ac:dyDescent="0.3">
      <c r="G96" s="15">
        <v>18</v>
      </c>
      <c r="H96" s="15">
        <v>21</v>
      </c>
      <c r="I96" s="15"/>
      <c r="J96" s="15">
        <v>21</v>
      </c>
      <c r="L96" s="15"/>
    </row>
    <row r="97" spans="1:12" x14ac:dyDescent="0.3">
      <c r="G97" s="15" t="s">
        <v>1065</v>
      </c>
      <c r="H97" s="15">
        <v>766</v>
      </c>
      <c r="I97" s="15">
        <v>234</v>
      </c>
      <c r="J97" s="15">
        <v>1000</v>
      </c>
      <c r="L97" s="15"/>
    </row>
    <row r="98" spans="1:12" x14ac:dyDescent="0.3">
      <c r="A98" s="15"/>
      <c r="B98" s="15"/>
      <c r="C98" s="15"/>
      <c r="D98" s="15"/>
      <c r="G98" s="15"/>
      <c r="L98" s="15"/>
    </row>
    <row r="99" spans="1:12" x14ac:dyDescent="0.3">
      <c r="G99" s="15"/>
      <c r="L99" s="15"/>
    </row>
    <row r="100" spans="1:12" x14ac:dyDescent="0.3">
      <c r="G100" s="15"/>
      <c r="L100" s="15"/>
    </row>
    <row r="101" spans="1:12" x14ac:dyDescent="0.3">
      <c r="G101" s="15"/>
      <c r="L101" s="15"/>
    </row>
    <row r="102" spans="1:12" x14ac:dyDescent="0.3">
      <c r="G102" s="15"/>
      <c r="L102" s="15"/>
    </row>
    <row r="103" spans="1:12" x14ac:dyDescent="0.3">
      <c r="G103" s="15"/>
      <c r="L103" s="15"/>
    </row>
    <row r="104" spans="1:12" x14ac:dyDescent="0.3">
      <c r="G104" s="15"/>
      <c r="L104" s="15"/>
    </row>
    <row r="105" spans="1:12" x14ac:dyDescent="0.3">
      <c r="G105" s="15"/>
      <c r="H105" s="15"/>
      <c r="I105" s="15"/>
      <c r="J105" s="15"/>
      <c r="K105" s="15"/>
      <c r="L105" s="15"/>
    </row>
    <row r="106" spans="1:12" x14ac:dyDescent="0.3">
      <c r="G106" s="15"/>
      <c r="H106" s="15"/>
      <c r="I106" s="15"/>
      <c r="J106" s="15"/>
      <c r="K106" s="15"/>
      <c r="L106" s="15"/>
    </row>
    <row r="117" spans="1:10" x14ac:dyDescent="0.3">
      <c r="A117" s="8" t="s">
        <v>1064</v>
      </c>
      <c r="B117" t="s">
        <v>1068</v>
      </c>
      <c r="G117" s="8" t="s">
        <v>1066</v>
      </c>
      <c r="H117" s="8" t="s">
        <v>1067</v>
      </c>
    </row>
    <row r="118" spans="1:10" x14ac:dyDescent="0.3">
      <c r="A118" s="9" t="s">
        <v>22</v>
      </c>
      <c r="B118">
        <v>8147890.109999991</v>
      </c>
      <c r="G118" s="8" t="s">
        <v>1064</v>
      </c>
      <c r="H118" t="s">
        <v>22</v>
      </c>
      <c r="I118" t="s">
        <v>30</v>
      </c>
      <c r="J118" t="s">
        <v>1065</v>
      </c>
    </row>
    <row r="119" spans="1:10" x14ac:dyDescent="0.3">
      <c r="A119" s="9" t="s">
        <v>30</v>
      </c>
      <c r="B119">
        <v>1288741.68</v>
      </c>
      <c r="G119" s="9" t="s">
        <v>21</v>
      </c>
      <c r="H119">
        <v>348</v>
      </c>
      <c r="I119">
        <v>110</v>
      </c>
      <c r="J119">
        <v>458</v>
      </c>
    </row>
    <row r="120" spans="1:10" x14ac:dyDescent="0.3">
      <c r="A120" s="9" t="s">
        <v>1065</v>
      </c>
      <c r="B120">
        <v>9436631.7899999917</v>
      </c>
      <c r="G120" s="9" t="s">
        <v>45</v>
      </c>
      <c r="H120">
        <v>93</v>
      </c>
      <c r="I120">
        <v>32</v>
      </c>
      <c r="J120">
        <v>125</v>
      </c>
    </row>
    <row r="121" spans="1:10" x14ac:dyDescent="0.3">
      <c r="G121" s="9" t="s">
        <v>40</v>
      </c>
      <c r="H121">
        <v>185</v>
      </c>
      <c r="I121">
        <v>52</v>
      </c>
      <c r="J121">
        <v>237</v>
      </c>
    </row>
    <row r="122" spans="1:10" x14ac:dyDescent="0.3">
      <c r="G122" s="9" t="s">
        <v>34</v>
      </c>
      <c r="H122">
        <v>140</v>
      </c>
      <c r="I122">
        <v>40</v>
      </c>
      <c r="J122">
        <v>180</v>
      </c>
    </row>
    <row r="123" spans="1:10" x14ac:dyDescent="0.3">
      <c r="G123" s="9" t="s">
        <v>1065</v>
      </c>
      <c r="H123">
        <v>766</v>
      </c>
      <c r="I123">
        <v>234</v>
      </c>
      <c r="J123">
        <v>1000</v>
      </c>
    </row>
  </sheetData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A81E-FB16-4994-A622-0616D29CDA62}">
  <sheetPr>
    <pageSetUpPr fitToPage="1"/>
  </sheetPr>
  <dimension ref="A1:R64"/>
  <sheetViews>
    <sheetView tabSelected="1" workbookViewId="0">
      <selection activeCell="J8" sqref="J8"/>
    </sheetView>
  </sheetViews>
  <sheetFormatPr defaultRowHeight="14.4" x14ac:dyDescent="0.3"/>
  <cols>
    <col min="1" max="1" width="7.33203125" customWidth="1"/>
    <col min="2" max="2" width="19.109375" customWidth="1"/>
    <col min="3" max="3" width="15.5546875" customWidth="1"/>
    <col min="5" max="6" width="8.88671875" customWidth="1"/>
    <col min="7" max="7" width="7.33203125" customWidth="1"/>
    <col min="8" max="8" width="19.44140625" customWidth="1"/>
    <col min="9" max="9" width="21.21875" customWidth="1"/>
    <col min="10" max="10" width="20" customWidth="1"/>
  </cols>
  <sheetData>
    <row r="1" spans="7:9" ht="25.8" x14ac:dyDescent="0.5">
      <c r="G1" s="16" t="s">
        <v>1073</v>
      </c>
    </row>
    <row r="4" spans="7:9" ht="18.600000000000001" thickBot="1" x14ac:dyDescent="0.4">
      <c r="H4" s="7" t="s">
        <v>1086</v>
      </c>
      <c r="I4" s="17"/>
    </row>
    <row r="5" spans="7:9" ht="18" x14ac:dyDescent="0.35">
      <c r="H5" s="21" t="s">
        <v>1069</v>
      </c>
      <c r="I5" s="22">
        <v>1000</v>
      </c>
    </row>
    <row r="6" spans="7:9" ht="18" x14ac:dyDescent="0.35">
      <c r="H6" s="23" t="s">
        <v>30</v>
      </c>
      <c r="I6" s="24">
        <v>234</v>
      </c>
    </row>
    <row r="7" spans="7:9" ht="18" x14ac:dyDescent="0.35">
      <c r="H7" s="23" t="s">
        <v>1059</v>
      </c>
      <c r="I7" s="25">
        <v>0.23400000000000001</v>
      </c>
    </row>
    <row r="8" spans="7:9" ht="18" x14ac:dyDescent="0.35">
      <c r="H8" s="23" t="s">
        <v>1070</v>
      </c>
      <c r="I8" s="25">
        <v>0.76600000000000001</v>
      </c>
    </row>
    <row r="9" spans="7:9" ht="18" x14ac:dyDescent="0.35">
      <c r="H9" s="23" t="s">
        <v>1071</v>
      </c>
      <c r="I9" s="24" t="s">
        <v>1056</v>
      </c>
    </row>
    <row r="10" spans="7:9" ht="18.600000000000001" thickBot="1" x14ac:dyDescent="0.4">
      <c r="H10" s="26" t="s">
        <v>1072</v>
      </c>
      <c r="I10" s="27">
        <v>9436.6299999999992</v>
      </c>
    </row>
    <row r="48" spans="1:18" ht="21" x14ac:dyDescent="0.4">
      <c r="A48" s="19" t="s">
        <v>1075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</row>
    <row r="50" spans="2:8" ht="21" x14ac:dyDescent="0.4">
      <c r="B50" s="18" t="s">
        <v>1074</v>
      </c>
    </row>
    <row r="52" spans="2:8" ht="18" x14ac:dyDescent="0.35">
      <c r="B52" s="17" t="s">
        <v>1076</v>
      </c>
      <c r="C52" s="17"/>
      <c r="D52" s="17"/>
      <c r="E52" s="17"/>
      <c r="F52" s="17"/>
      <c r="G52" s="17"/>
      <c r="H52" s="17"/>
    </row>
    <row r="53" spans="2:8" ht="18" x14ac:dyDescent="0.35">
      <c r="B53" s="17" t="s">
        <v>1077</v>
      </c>
      <c r="C53" s="17"/>
      <c r="D53" s="17"/>
      <c r="E53" s="17"/>
      <c r="F53" s="17"/>
      <c r="G53" s="17"/>
      <c r="H53" s="17"/>
    </row>
    <row r="54" spans="2:8" ht="18" x14ac:dyDescent="0.35">
      <c r="B54" s="17" t="s">
        <v>1078</v>
      </c>
      <c r="C54" s="17"/>
      <c r="D54" s="17"/>
      <c r="E54" s="17"/>
      <c r="F54" s="17"/>
      <c r="G54" s="17"/>
      <c r="H54" s="17"/>
    </row>
    <row r="55" spans="2:8" ht="18" x14ac:dyDescent="0.35">
      <c r="B55" s="17" t="s">
        <v>1079</v>
      </c>
      <c r="C55" s="17"/>
      <c r="D55" s="17"/>
      <c r="E55" s="17"/>
      <c r="F55" s="17"/>
      <c r="G55" s="17"/>
      <c r="H55" s="17"/>
    </row>
    <row r="56" spans="2:8" ht="18" x14ac:dyDescent="0.35">
      <c r="B56" s="17" t="s">
        <v>1080</v>
      </c>
      <c r="C56" s="17"/>
      <c r="D56" s="17"/>
      <c r="E56" s="17"/>
      <c r="F56" s="17"/>
      <c r="G56" s="17"/>
      <c r="H56" s="17"/>
    </row>
    <row r="57" spans="2:8" ht="18" x14ac:dyDescent="0.35">
      <c r="B57" s="17"/>
      <c r="C57" s="17"/>
      <c r="D57" s="17"/>
      <c r="E57" s="17"/>
      <c r="F57" s="17"/>
      <c r="G57" s="17"/>
      <c r="H57" s="17"/>
    </row>
    <row r="59" spans="2:8" ht="18" x14ac:dyDescent="0.35">
      <c r="B59" s="7" t="s">
        <v>1081</v>
      </c>
    </row>
    <row r="61" spans="2:8" ht="18" x14ac:dyDescent="0.35">
      <c r="B61" s="17" t="s">
        <v>1082</v>
      </c>
      <c r="C61" s="17"/>
      <c r="D61" s="17"/>
    </row>
    <row r="62" spans="2:8" ht="18" x14ac:dyDescent="0.35">
      <c r="B62" s="17" t="s">
        <v>1083</v>
      </c>
      <c r="C62" s="17"/>
      <c r="D62" s="17"/>
    </row>
    <row r="63" spans="2:8" ht="18" x14ac:dyDescent="0.35">
      <c r="B63" s="17" t="s">
        <v>1084</v>
      </c>
      <c r="C63" s="17"/>
      <c r="D63" s="17"/>
    </row>
    <row r="64" spans="2:8" ht="18" x14ac:dyDescent="0.35">
      <c r="B64" s="17" t="s">
        <v>1085</v>
      </c>
      <c r="C64" s="17"/>
      <c r="D64" s="17"/>
    </row>
  </sheetData>
  <mergeCells count="1">
    <mergeCell ref="A48:R48"/>
  </mergeCells>
  <pageMargins left="0.7" right="0.7" top="0.75" bottom="0.75" header="0.3" footer="0.3"/>
  <pageSetup paperSize="9" scale="47" fitToWidth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6.21875" customWidth="1"/>
    <col min="2" max="2" width="22.88671875" customWidth="1"/>
    <col min="3" max="3" width="20.6640625" customWidth="1"/>
    <col min="4" max="4" width="20" customWidth="1"/>
    <col min="5" max="5" width="12" customWidth="1"/>
    <col min="6" max="6" width="13.88671875" customWidth="1"/>
    <col min="7" max="7" width="18.88671875" customWidth="1"/>
    <col min="8" max="8" width="20" customWidth="1"/>
    <col min="9" max="9" width="18" customWidth="1"/>
    <col min="10" max="10" width="17.21875" customWidth="1"/>
    <col min="11" max="12" width="15" customWidth="1"/>
    <col min="13" max="13" width="22" customWidth="1"/>
    <col min="14" max="14" width="18" customWidth="1"/>
    <col min="15" max="15" width="23.4414062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s="1">
        <v>45659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18</v>
      </c>
      <c r="J2">
        <v>1434.26</v>
      </c>
      <c r="K2">
        <v>25816.68</v>
      </c>
      <c r="L2" t="s">
        <v>22</v>
      </c>
      <c r="M2" t="s">
        <v>22</v>
      </c>
      <c r="N2" s="1">
        <v>46203</v>
      </c>
      <c r="O2">
        <v>25816.68</v>
      </c>
    </row>
    <row r="3" spans="1:15" x14ac:dyDescent="0.3">
      <c r="A3" t="s">
        <v>23</v>
      </c>
      <c r="B3" s="1">
        <v>45659</v>
      </c>
      <c r="C3" t="s">
        <v>16</v>
      </c>
      <c r="D3" t="s">
        <v>24</v>
      </c>
      <c r="E3" t="s">
        <v>25</v>
      </c>
      <c r="F3" t="s">
        <v>19</v>
      </c>
      <c r="G3" t="s">
        <v>26</v>
      </c>
      <c r="H3" t="s">
        <v>21</v>
      </c>
      <c r="I3">
        <v>18</v>
      </c>
      <c r="J3">
        <v>923.8</v>
      </c>
      <c r="K3">
        <v>16628.400000000001</v>
      </c>
      <c r="L3" t="s">
        <v>22</v>
      </c>
      <c r="M3" t="s">
        <v>22</v>
      </c>
      <c r="N3" s="1">
        <v>46203</v>
      </c>
      <c r="O3">
        <v>16628.400000000001</v>
      </c>
    </row>
    <row r="4" spans="1:15" x14ac:dyDescent="0.3">
      <c r="A4" t="s">
        <v>27</v>
      </c>
      <c r="B4" s="1">
        <v>45659</v>
      </c>
      <c r="C4" t="s">
        <v>16</v>
      </c>
      <c r="D4" t="s">
        <v>24</v>
      </c>
      <c r="E4" t="s">
        <v>28</v>
      </c>
      <c r="F4" t="s">
        <v>29</v>
      </c>
      <c r="G4" t="s">
        <v>20</v>
      </c>
      <c r="H4" t="s">
        <v>21</v>
      </c>
      <c r="I4">
        <v>11</v>
      </c>
      <c r="J4">
        <v>865.12</v>
      </c>
      <c r="K4">
        <v>9516.32</v>
      </c>
      <c r="L4" t="s">
        <v>30</v>
      </c>
      <c r="M4" t="s">
        <v>31</v>
      </c>
      <c r="N4" s="1">
        <v>45984</v>
      </c>
      <c r="O4">
        <v>9516.32</v>
      </c>
    </row>
    <row r="5" spans="1:15" x14ac:dyDescent="0.3">
      <c r="A5" t="s">
        <v>32</v>
      </c>
      <c r="B5" s="1">
        <v>45659</v>
      </c>
      <c r="C5" t="s">
        <v>16</v>
      </c>
      <c r="D5" t="s">
        <v>24</v>
      </c>
      <c r="E5" t="s">
        <v>28</v>
      </c>
      <c r="F5" t="s">
        <v>33</v>
      </c>
      <c r="G5" t="s">
        <v>20</v>
      </c>
      <c r="H5" t="s">
        <v>34</v>
      </c>
      <c r="I5">
        <v>18</v>
      </c>
      <c r="J5">
        <v>838.06</v>
      </c>
      <c r="K5">
        <v>15085.08</v>
      </c>
      <c r="L5" t="s">
        <v>22</v>
      </c>
      <c r="M5" t="s">
        <v>22</v>
      </c>
      <c r="N5" s="1">
        <v>46203</v>
      </c>
      <c r="O5">
        <v>15085.08</v>
      </c>
    </row>
    <row r="6" spans="1:15" x14ac:dyDescent="0.3">
      <c r="A6" t="s">
        <v>35</v>
      </c>
      <c r="B6" s="1">
        <v>45659</v>
      </c>
      <c r="C6" t="s">
        <v>16</v>
      </c>
      <c r="D6" t="s">
        <v>24</v>
      </c>
      <c r="E6" t="s">
        <v>18</v>
      </c>
      <c r="F6" t="s">
        <v>19</v>
      </c>
      <c r="G6" t="s">
        <v>20</v>
      </c>
      <c r="H6" t="s">
        <v>34</v>
      </c>
      <c r="I6">
        <v>17</v>
      </c>
      <c r="J6">
        <v>915.85</v>
      </c>
      <c r="K6">
        <v>15569.45</v>
      </c>
      <c r="L6" t="s">
        <v>30</v>
      </c>
      <c r="M6" t="s">
        <v>36</v>
      </c>
      <c r="N6" s="1">
        <v>46174</v>
      </c>
      <c r="O6">
        <v>15569.45</v>
      </c>
    </row>
    <row r="7" spans="1:15" x14ac:dyDescent="0.3">
      <c r="A7" t="s">
        <v>37</v>
      </c>
      <c r="B7" s="1">
        <v>45660</v>
      </c>
      <c r="C7" t="s">
        <v>16</v>
      </c>
      <c r="D7" t="s">
        <v>24</v>
      </c>
      <c r="E7" t="s">
        <v>18</v>
      </c>
      <c r="F7" t="s">
        <v>38</v>
      </c>
      <c r="G7" t="s">
        <v>39</v>
      </c>
      <c r="H7" t="s">
        <v>40</v>
      </c>
      <c r="I7">
        <v>4</v>
      </c>
      <c r="J7">
        <v>972.79</v>
      </c>
      <c r="K7">
        <v>3891.16</v>
      </c>
      <c r="L7" t="s">
        <v>30</v>
      </c>
      <c r="M7" t="s">
        <v>41</v>
      </c>
      <c r="N7" s="1">
        <v>45794</v>
      </c>
      <c r="O7">
        <v>3891.16</v>
      </c>
    </row>
    <row r="8" spans="1:15" x14ac:dyDescent="0.3">
      <c r="A8" t="s">
        <v>42</v>
      </c>
      <c r="B8" s="1">
        <v>45660</v>
      </c>
      <c r="C8" t="s">
        <v>16</v>
      </c>
      <c r="D8" t="s">
        <v>17</v>
      </c>
      <c r="E8" t="s">
        <v>18</v>
      </c>
      <c r="F8" t="s">
        <v>29</v>
      </c>
      <c r="G8" t="s">
        <v>39</v>
      </c>
      <c r="H8" t="s">
        <v>21</v>
      </c>
      <c r="I8">
        <v>4</v>
      </c>
      <c r="J8">
        <v>1557.28</v>
      </c>
      <c r="K8">
        <v>6229.12</v>
      </c>
      <c r="L8" t="s">
        <v>30</v>
      </c>
      <c r="M8" t="s">
        <v>43</v>
      </c>
      <c r="N8" s="1">
        <v>45794</v>
      </c>
      <c r="O8">
        <v>6229.12</v>
      </c>
    </row>
    <row r="9" spans="1:15" x14ac:dyDescent="0.3">
      <c r="A9" t="s">
        <v>44</v>
      </c>
      <c r="B9" s="1">
        <v>45660</v>
      </c>
      <c r="C9" t="s">
        <v>16</v>
      </c>
      <c r="D9" t="s">
        <v>17</v>
      </c>
      <c r="E9" t="s">
        <v>28</v>
      </c>
      <c r="F9" t="s">
        <v>38</v>
      </c>
      <c r="G9" t="s">
        <v>39</v>
      </c>
      <c r="H9" t="s">
        <v>45</v>
      </c>
      <c r="I9">
        <v>18</v>
      </c>
      <c r="J9">
        <v>1592.2</v>
      </c>
      <c r="K9">
        <v>28659.599999999999</v>
      </c>
      <c r="L9" t="s">
        <v>22</v>
      </c>
      <c r="M9" t="s">
        <v>22</v>
      </c>
      <c r="N9" s="1">
        <v>46203</v>
      </c>
      <c r="O9">
        <v>28659.599999999999</v>
      </c>
    </row>
    <row r="10" spans="1:15" x14ac:dyDescent="0.3">
      <c r="A10" t="s">
        <v>46</v>
      </c>
      <c r="B10" s="1">
        <v>45660</v>
      </c>
      <c r="C10" t="s">
        <v>16</v>
      </c>
      <c r="D10" t="s">
        <v>24</v>
      </c>
      <c r="E10" t="s">
        <v>18</v>
      </c>
      <c r="F10" t="s">
        <v>33</v>
      </c>
      <c r="G10" t="s">
        <v>39</v>
      </c>
      <c r="H10" t="s">
        <v>21</v>
      </c>
      <c r="I10">
        <v>18</v>
      </c>
      <c r="J10">
        <v>880.26</v>
      </c>
      <c r="K10">
        <v>15844.68</v>
      </c>
      <c r="L10" t="s">
        <v>22</v>
      </c>
      <c r="M10" t="s">
        <v>22</v>
      </c>
      <c r="N10" s="1">
        <v>46203</v>
      </c>
      <c r="O10">
        <v>15844.68</v>
      </c>
    </row>
    <row r="11" spans="1:15" x14ac:dyDescent="0.3">
      <c r="A11" t="s">
        <v>47</v>
      </c>
      <c r="B11" s="1">
        <v>45661</v>
      </c>
      <c r="C11" t="s">
        <v>16</v>
      </c>
      <c r="D11" t="s">
        <v>17</v>
      </c>
      <c r="E11" t="s">
        <v>25</v>
      </c>
      <c r="F11" t="s">
        <v>33</v>
      </c>
      <c r="G11" t="s">
        <v>39</v>
      </c>
      <c r="H11" t="s">
        <v>21</v>
      </c>
      <c r="I11">
        <v>18</v>
      </c>
      <c r="J11">
        <v>1577.03</v>
      </c>
      <c r="K11">
        <v>28386.54</v>
      </c>
      <c r="L11" t="s">
        <v>22</v>
      </c>
      <c r="M11" t="s">
        <v>22</v>
      </c>
      <c r="N11" s="1">
        <v>46203</v>
      </c>
      <c r="O11">
        <v>28386.54</v>
      </c>
    </row>
    <row r="12" spans="1:15" x14ac:dyDescent="0.3">
      <c r="A12" t="s">
        <v>48</v>
      </c>
      <c r="B12" s="1">
        <v>45662</v>
      </c>
      <c r="C12" t="s">
        <v>16</v>
      </c>
      <c r="D12" t="s">
        <v>49</v>
      </c>
      <c r="E12" t="s">
        <v>50</v>
      </c>
      <c r="F12" t="s">
        <v>51</v>
      </c>
      <c r="G12" t="s">
        <v>39</v>
      </c>
      <c r="H12" t="s">
        <v>40</v>
      </c>
      <c r="I12">
        <v>18</v>
      </c>
      <c r="J12">
        <v>469.5</v>
      </c>
      <c r="K12">
        <v>8451</v>
      </c>
      <c r="L12" t="s">
        <v>22</v>
      </c>
      <c r="M12" t="s">
        <v>22</v>
      </c>
      <c r="N12" s="1">
        <v>46203</v>
      </c>
      <c r="O12">
        <v>8451</v>
      </c>
    </row>
    <row r="13" spans="1:15" x14ac:dyDescent="0.3">
      <c r="A13" t="s">
        <v>52</v>
      </c>
      <c r="B13" s="1">
        <v>45662</v>
      </c>
      <c r="C13" t="s">
        <v>16</v>
      </c>
      <c r="D13" t="s">
        <v>24</v>
      </c>
      <c r="E13" t="s">
        <v>25</v>
      </c>
      <c r="F13" t="s">
        <v>29</v>
      </c>
      <c r="G13" t="s">
        <v>39</v>
      </c>
      <c r="H13" t="s">
        <v>40</v>
      </c>
      <c r="I13">
        <v>8</v>
      </c>
      <c r="J13">
        <v>969.26</v>
      </c>
      <c r="K13">
        <v>7754.08</v>
      </c>
      <c r="L13" t="s">
        <v>30</v>
      </c>
      <c r="M13" t="s">
        <v>31</v>
      </c>
      <c r="N13" s="1">
        <v>45918</v>
      </c>
      <c r="O13">
        <v>7754.08</v>
      </c>
    </row>
    <row r="14" spans="1:15" x14ac:dyDescent="0.3">
      <c r="A14" t="s">
        <v>53</v>
      </c>
      <c r="B14" s="1">
        <v>45663</v>
      </c>
      <c r="C14" t="s">
        <v>16</v>
      </c>
      <c r="D14" t="s">
        <v>49</v>
      </c>
      <c r="E14" t="s">
        <v>50</v>
      </c>
      <c r="F14" t="s">
        <v>19</v>
      </c>
      <c r="G14" t="s">
        <v>20</v>
      </c>
      <c r="H14" t="s">
        <v>21</v>
      </c>
      <c r="I14">
        <v>18</v>
      </c>
      <c r="J14">
        <v>462.44</v>
      </c>
      <c r="K14">
        <v>8323.92</v>
      </c>
      <c r="L14" t="s">
        <v>22</v>
      </c>
      <c r="M14" t="s">
        <v>22</v>
      </c>
      <c r="N14" s="1">
        <v>46203</v>
      </c>
      <c r="O14">
        <v>8323.92</v>
      </c>
    </row>
    <row r="15" spans="1:15" x14ac:dyDescent="0.3">
      <c r="A15" t="s">
        <v>54</v>
      </c>
      <c r="B15" s="1">
        <v>45663</v>
      </c>
      <c r="C15" t="s">
        <v>16</v>
      </c>
      <c r="D15" t="s">
        <v>17</v>
      </c>
      <c r="E15" t="s">
        <v>28</v>
      </c>
      <c r="F15" t="s">
        <v>29</v>
      </c>
      <c r="G15" t="s">
        <v>39</v>
      </c>
      <c r="H15" t="s">
        <v>34</v>
      </c>
      <c r="I15">
        <v>9</v>
      </c>
      <c r="J15">
        <v>1394.35</v>
      </c>
      <c r="K15">
        <v>12549.15</v>
      </c>
      <c r="L15" t="s">
        <v>30</v>
      </c>
      <c r="M15" t="s">
        <v>36</v>
      </c>
      <c r="N15" s="1">
        <v>45951</v>
      </c>
      <c r="O15">
        <v>12549.15</v>
      </c>
    </row>
    <row r="16" spans="1:15" x14ac:dyDescent="0.3">
      <c r="A16" t="s">
        <v>55</v>
      </c>
      <c r="B16" s="1">
        <v>45663</v>
      </c>
      <c r="C16" t="s">
        <v>16</v>
      </c>
      <c r="D16" t="s">
        <v>17</v>
      </c>
      <c r="E16" t="s">
        <v>18</v>
      </c>
      <c r="F16" t="s">
        <v>29</v>
      </c>
      <c r="G16" t="s">
        <v>20</v>
      </c>
      <c r="H16" t="s">
        <v>40</v>
      </c>
      <c r="I16">
        <v>14</v>
      </c>
      <c r="J16">
        <v>1641.78</v>
      </c>
      <c r="K16">
        <v>22984.92</v>
      </c>
      <c r="L16" t="s">
        <v>30</v>
      </c>
      <c r="M16" t="s">
        <v>41</v>
      </c>
      <c r="N16" s="1">
        <v>46092</v>
      </c>
      <c r="O16">
        <v>22984.92</v>
      </c>
    </row>
    <row r="17" spans="1:15" x14ac:dyDescent="0.3">
      <c r="A17" t="s">
        <v>56</v>
      </c>
      <c r="B17" s="1">
        <v>45664</v>
      </c>
      <c r="C17" t="s">
        <v>16</v>
      </c>
      <c r="D17" t="s">
        <v>24</v>
      </c>
      <c r="E17" t="s">
        <v>50</v>
      </c>
      <c r="F17" t="s">
        <v>19</v>
      </c>
      <c r="G17" t="s">
        <v>39</v>
      </c>
      <c r="H17" t="s">
        <v>21</v>
      </c>
      <c r="I17">
        <v>16</v>
      </c>
      <c r="J17">
        <v>871.12</v>
      </c>
      <c r="K17">
        <v>13937.92</v>
      </c>
      <c r="L17" t="s">
        <v>30</v>
      </c>
      <c r="M17" t="s">
        <v>41</v>
      </c>
      <c r="N17" s="1">
        <v>46155</v>
      </c>
      <c r="O17">
        <v>13937.92</v>
      </c>
    </row>
    <row r="18" spans="1:15" x14ac:dyDescent="0.3">
      <c r="A18" t="s">
        <v>57</v>
      </c>
      <c r="B18" s="1">
        <v>45664</v>
      </c>
      <c r="C18" t="s">
        <v>16</v>
      </c>
      <c r="D18" t="s">
        <v>17</v>
      </c>
      <c r="E18" t="s">
        <v>25</v>
      </c>
      <c r="F18" t="s">
        <v>29</v>
      </c>
      <c r="G18" t="s">
        <v>39</v>
      </c>
      <c r="H18" t="s">
        <v>21</v>
      </c>
      <c r="I18">
        <v>18</v>
      </c>
      <c r="J18">
        <v>1428.29</v>
      </c>
      <c r="K18">
        <v>25709.22</v>
      </c>
      <c r="L18" t="s">
        <v>22</v>
      </c>
      <c r="M18" t="s">
        <v>22</v>
      </c>
      <c r="N18" s="1">
        <v>46203</v>
      </c>
      <c r="O18">
        <v>25709.22</v>
      </c>
    </row>
    <row r="19" spans="1:15" x14ac:dyDescent="0.3">
      <c r="A19" t="s">
        <v>58</v>
      </c>
      <c r="B19" s="1">
        <v>45665</v>
      </c>
      <c r="C19" t="s">
        <v>16</v>
      </c>
      <c r="D19" t="s">
        <v>49</v>
      </c>
      <c r="E19" t="s">
        <v>18</v>
      </c>
      <c r="F19" t="s">
        <v>19</v>
      </c>
      <c r="G19" t="s">
        <v>20</v>
      </c>
      <c r="H19" t="s">
        <v>34</v>
      </c>
      <c r="I19">
        <v>18</v>
      </c>
      <c r="J19">
        <v>491.6</v>
      </c>
      <c r="K19">
        <v>8848.7999999999993</v>
      </c>
      <c r="L19" t="s">
        <v>22</v>
      </c>
      <c r="M19" t="s">
        <v>22</v>
      </c>
      <c r="N19" s="1">
        <v>46203</v>
      </c>
      <c r="O19">
        <v>8848.7999999999993</v>
      </c>
    </row>
    <row r="20" spans="1:15" x14ac:dyDescent="0.3">
      <c r="A20" t="s">
        <v>59</v>
      </c>
      <c r="B20" s="1">
        <v>45665</v>
      </c>
      <c r="C20" t="s">
        <v>16</v>
      </c>
      <c r="D20" t="s">
        <v>24</v>
      </c>
      <c r="E20" t="s">
        <v>28</v>
      </c>
      <c r="F20" t="s">
        <v>38</v>
      </c>
      <c r="G20" t="s">
        <v>39</v>
      </c>
      <c r="H20" t="s">
        <v>34</v>
      </c>
      <c r="I20">
        <v>8</v>
      </c>
      <c r="J20">
        <v>880.33</v>
      </c>
      <c r="K20">
        <v>7042.64</v>
      </c>
      <c r="L20" t="s">
        <v>30</v>
      </c>
      <c r="M20" t="s">
        <v>41</v>
      </c>
      <c r="N20" s="1">
        <v>45897</v>
      </c>
      <c r="O20">
        <v>7042.64</v>
      </c>
    </row>
    <row r="21" spans="1:15" x14ac:dyDescent="0.3">
      <c r="A21" t="s">
        <v>60</v>
      </c>
      <c r="B21" s="1">
        <v>45665</v>
      </c>
      <c r="C21" t="s">
        <v>16</v>
      </c>
      <c r="D21" t="s">
        <v>49</v>
      </c>
      <c r="E21" t="s">
        <v>18</v>
      </c>
      <c r="F21" t="s">
        <v>19</v>
      </c>
      <c r="G21" t="s">
        <v>39</v>
      </c>
      <c r="H21" t="s">
        <v>21</v>
      </c>
      <c r="I21">
        <v>18</v>
      </c>
      <c r="J21">
        <v>517.04999999999995</v>
      </c>
      <c r="K21">
        <v>9306.9</v>
      </c>
      <c r="L21" t="s">
        <v>22</v>
      </c>
      <c r="M21" t="s">
        <v>22</v>
      </c>
      <c r="N21" s="1">
        <v>46203</v>
      </c>
      <c r="O21">
        <v>9306.9</v>
      </c>
    </row>
    <row r="22" spans="1:15" x14ac:dyDescent="0.3">
      <c r="A22" t="s">
        <v>61</v>
      </c>
      <c r="B22" s="1">
        <v>45666</v>
      </c>
      <c r="C22" t="s">
        <v>16</v>
      </c>
      <c r="D22" t="s">
        <v>49</v>
      </c>
      <c r="E22" t="s">
        <v>28</v>
      </c>
      <c r="F22" t="s">
        <v>51</v>
      </c>
      <c r="G22" t="s">
        <v>20</v>
      </c>
      <c r="H22" t="s">
        <v>40</v>
      </c>
      <c r="I22">
        <v>18</v>
      </c>
      <c r="J22">
        <v>461.9</v>
      </c>
      <c r="K22">
        <v>8314.2000000000007</v>
      </c>
      <c r="L22" t="s">
        <v>22</v>
      </c>
      <c r="M22" t="s">
        <v>22</v>
      </c>
      <c r="N22" s="1">
        <v>46203</v>
      </c>
      <c r="O22">
        <v>8314.2000000000007</v>
      </c>
    </row>
    <row r="23" spans="1:15" x14ac:dyDescent="0.3">
      <c r="A23" t="s">
        <v>62</v>
      </c>
      <c r="B23" s="1">
        <v>45666</v>
      </c>
      <c r="C23" t="s">
        <v>16</v>
      </c>
      <c r="D23" t="s">
        <v>24</v>
      </c>
      <c r="E23" t="s">
        <v>50</v>
      </c>
      <c r="F23" t="s">
        <v>29</v>
      </c>
      <c r="G23" t="s">
        <v>39</v>
      </c>
      <c r="H23" t="s">
        <v>21</v>
      </c>
      <c r="I23">
        <v>18</v>
      </c>
      <c r="J23">
        <v>958.74</v>
      </c>
      <c r="K23">
        <v>17257.32</v>
      </c>
      <c r="L23" t="s">
        <v>22</v>
      </c>
      <c r="M23" t="s">
        <v>22</v>
      </c>
      <c r="N23" s="1">
        <v>46203</v>
      </c>
      <c r="O23">
        <v>17257.32</v>
      </c>
    </row>
    <row r="24" spans="1:15" x14ac:dyDescent="0.3">
      <c r="A24" t="s">
        <v>63</v>
      </c>
      <c r="B24" s="1">
        <v>45666</v>
      </c>
      <c r="C24" t="s">
        <v>16</v>
      </c>
      <c r="D24" t="s">
        <v>24</v>
      </c>
      <c r="E24" t="s">
        <v>25</v>
      </c>
      <c r="F24" t="s">
        <v>33</v>
      </c>
      <c r="G24" t="s">
        <v>20</v>
      </c>
      <c r="H24" t="s">
        <v>21</v>
      </c>
      <c r="I24">
        <v>10</v>
      </c>
      <c r="J24">
        <v>850.62</v>
      </c>
      <c r="K24">
        <v>8506.2000000000007</v>
      </c>
      <c r="L24" t="s">
        <v>30</v>
      </c>
      <c r="M24" t="s">
        <v>43</v>
      </c>
      <c r="N24" s="1">
        <v>45963</v>
      </c>
      <c r="O24">
        <v>8506.2000000000007</v>
      </c>
    </row>
    <row r="25" spans="1:15" x14ac:dyDescent="0.3">
      <c r="A25" t="s">
        <v>64</v>
      </c>
      <c r="B25" s="1">
        <v>45666</v>
      </c>
      <c r="C25" t="s">
        <v>16</v>
      </c>
      <c r="D25" t="s">
        <v>24</v>
      </c>
      <c r="E25" t="s">
        <v>18</v>
      </c>
      <c r="F25" t="s">
        <v>38</v>
      </c>
      <c r="G25" t="s">
        <v>26</v>
      </c>
      <c r="H25" t="s">
        <v>21</v>
      </c>
      <c r="I25">
        <v>18</v>
      </c>
      <c r="J25">
        <v>966.58</v>
      </c>
      <c r="K25">
        <v>17398.439999999999</v>
      </c>
      <c r="L25" t="s">
        <v>22</v>
      </c>
      <c r="M25" t="s">
        <v>22</v>
      </c>
      <c r="N25" s="1">
        <v>46203</v>
      </c>
      <c r="O25">
        <v>17398.439999999999</v>
      </c>
    </row>
    <row r="26" spans="1:15" x14ac:dyDescent="0.3">
      <c r="A26" t="s">
        <v>65</v>
      </c>
      <c r="B26" s="1">
        <v>45667</v>
      </c>
      <c r="C26" t="s">
        <v>16</v>
      </c>
      <c r="D26" t="s">
        <v>49</v>
      </c>
      <c r="E26" t="s">
        <v>50</v>
      </c>
      <c r="F26" t="s">
        <v>51</v>
      </c>
      <c r="G26" t="s">
        <v>20</v>
      </c>
      <c r="H26" t="s">
        <v>45</v>
      </c>
      <c r="I26">
        <v>18</v>
      </c>
      <c r="J26">
        <v>453.65</v>
      </c>
      <c r="K26">
        <v>8165.7</v>
      </c>
      <c r="L26" t="s">
        <v>22</v>
      </c>
      <c r="M26" t="s">
        <v>22</v>
      </c>
      <c r="N26" s="1">
        <v>46203</v>
      </c>
      <c r="O26">
        <v>8165.7</v>
      </c>
    </row>
    <row r="27" spans="1:15" x14ac:dyDescent="0.3">
      <c r="A27" t="s">
        <v>66</v>
      </c>
      <c r="B27" s="1">
        <v>45667</v>
      </c>
      <c r="C27" t="s">
        <v>16</v>
      </c>
      <c r="D27" t="s">
        <v>24</v>
      </c>
      <c r="E27" t="s">
        <v>25</v>
      </c>
      <c r="F27" t="s">
        <v>29</v>
      </c>
      <c r="G27" t="s">
        <v>39</v>
      </c>
      <c r="H27" t="s">
        <v>34</v>
      </c>
      <c r="I27">
        <v>18</v>
      </c>
      <c r="J27">
        <v>966.87</v>
      </c>
      <c r="K27">
        <v>17403.66</v>
      </c>
      <c r="L27" t="s">
        <v>22</v>
      </c>
      <c r="M27" t="s">
        <v>22</v>
      </c>
      <c r="N27" s="1">
        <v>46203</v>
      </c>
      <c r="O27">
        <v>17403.66</v>
      </c>
    </row>
    <row r="28" spans="1:15" x14ac:dyDescent="0.3">
      <c r="A28" t="s">
        <v>67</v>
      </c>
      <c r="B28" s="1">
        <v>45668</v>
      </c>
      <c r="C28" t="s">
        <v>16</v>
      </c>
      <c r="D28" t="s">
        <v>49</v>
      </c>
      <c r="E28" t="s">
        <v>28</v>
      </c>
      <c r="F28" t="s">
        <v>29</v>
      </c>
      <c r="G28" t="s">
        <v>26</v>
      </c>
      <c r="H28" t="s">
        <v>21</v>
      </c>
      <c r="I28">
        <v>18</v>
      </c>
      <c r="J28">
        <v>474.03</v>
      </c>
      <c r="K28">
        <v>8532.5400000000009</v>
      </c>
      <c r="L28" t="s">
        <v>22</v>
      </c>
      <c r="M28" t="s">
        <v>22</v>
      </c>
      <c r="N28" s="1">
        <v>46203</v>
      </c>
      <c r="O28">
        <v>8532.5400000000009</v>
      </c>
    </row>
    <row r="29" spans="1:15" x14ac:dyDescent="0.3">
      <c r="A29" t="s">
        <v>68</v>
      </c>
      <c r="B29" s="1">
        <v>45669</v>
      </c>
      <c r="C29" t="s">
        <v>16</v>
      </c>
      <c r="D29" t="s">
        <v>24</v>
      </c>
      <c r="E29" t="s">
        <v>50</v>
      </c>
      <c r="F29" t="s">
        <v>29</v>
      </c>
      <c r="G29" t="s">
        <v>39</v>
      </c>
      <c r="H29" t="s">
        <v>34</v>
      </c>
      <c r="I29">
        <v>18</v>
      </c>
      <c r="J29">
        <v>937.01</v>
      </c>
      <c r="K29">
        <v>16866.18</v>
      </c>
      <c r="L29" t="s">
        <v>22</v>
      </c>
      <c r="M29" t="s">
        <v>22</v>
      </c>
      <c r="N29" s="1">
        <v>46203</v>
      </c>
      <c r="O29">
        <v>16866.18</v>
      </c>
    </row>
    <row r="30" spans="1:15" x14ac:dyDescent="0.3">
      <c r="A30" t="s">
        <v>69</v>
      </c>
      <c r="B30" s="1">
        <v>45669</v>
      </c>
      <c r="C30" t="s">
        <v>16</v>
      </c>
      <c r="D30" t="s">
        <v>24</v>
      </c>
      <c r="E30" t="s">
        <v>50</v>
      </c>
      <c r="F30" t="s">
        <v>19</v>
      </c>
      <c r="G30" t="s">
        <v>26</v>
      </c>
      <c r="H30" t="s">
        <v>34</v>
      </c>
      <c r="I30">
        <v>18</v>
      </c>
      <c r="J30">
        <v>899.84</v>
      </c>
      <c r="K30">
        <v>16197.12</v>
      </c>
      <c r="L30" t="s">
        <v>22</v>
      </c>
      <c r="M30" t="s">
        <v>22</v>
      </c>
      <c r="N30" s="1">
        <v>46203</v>
      </c>
      <c r="O30">
        <v>16197.12</v>
      </c>
    </row>
    <row r="31" spans="1:15" x14ac:dyDescent="0.3">
      <c r="A31" t="s">
        <v>70</v>
      </c>
      <c r="B31" s="1">
        <v>45669</v>
      </c>
      <c r="C31" t="s">
        <v>16</v>
      </c>
      <c r="D31" t="s">
        <v>49</v>
      </c>
      <c r="E31" t="s">
        <v>25</v>
      </c>
      <c r="F31" t="s">
        <v>19</v>
      </c>
      <c r="G31" t="s">
        <v>26</v>
      </c>
      <c r="H31" t="s">
        <v>34</v>
      </c>
      <c r="I31">
        <v>18</v>
      </c>
      <c r="J31">
        <v>498.25</v>
      </c>
      <c r="K31">
        <v>8968.5</v>
      </c>
      <c r="L31" t="s">
        <v>22</v>
      </c>
      <c r="M31" t="s">
        <v>22</v>
      </c>
      <c r="N31" s="1">
        <v>46203</v>
      </c>
      <c r="O31">
        <v>8968.5</v>
      </c>
    </row>
    <row r="32" spans="1:15" x14ac:dyDescent="0.3">
      <c r="A32" t="s">
        <v>71</v>
      </c>
      <c r="B32" s="1">
        <v>45670</v>
      </c>
      <c r="C32" t="s">
        <v>16</v>
      </c>
      <c r="D32" t="s">
        <v>49</v>
      </c>
      <c r="E32" t="s">
        <v>25</v>
      </c>
      <c r="F32" t="s">
        <v>38</v>
      </c>
      <c r="G32" t="s">
        <v>39</v>
      </c>
      <c r="H32" t="s">
        <v>45</v>
      </c>
      <c r="I32">
        <v>2</v>
      </c>
      <c r="J32">
        <v>507.02</v>
      </c>
      <c r="K32">
        <v>1014.04</v>
      </c>
      <c r="L32" t="s">
        <v>30</v>
      </c>
      <c r="M32" t="s">
        <v>36</v>
      </c>
      <c r="N32" s="1">
        <v>45727</v>
      </c>
      <c r="O32">
        <v>1014.04</v>
      </c>
    </row>
    <row r="33" spans="1:15" x14ac:dyDescent="0.3">
      <c r="A33" t="s">
        <v>72</v>
      </c>
      <c r="B33" s="1">
        <v>45670</v>
      </c>
      <c r="C33" t="s">
        <v>16</v>
      </c>
      <c r="D33" t="s">
        <v>17</v>
      </c>
      <c r="E33" t="s">
        <v>28</v>
      </c>
      <c r="F33" t="s">
        <v>33</v>
      </c>
      <c r="G33" t="s">
        <v>20</v>
      </c>
      <c r="H33" t="s">
        <v>21</v>
      </c>
      <c r="I33">
        <v>18</v>
      </c>
      <c r="J33">
        <v>1451.36</v>
      </c>
      <c r="K33">
        <v>26124.48</v>
      </c>
      <c r="L33" t="s">
        <v>22</v>
      </c>
      <c r="M33" t="s">
        <v>22</v>
      </c>
      <c r="N33" s="1">
        <v>46203</v>
      </c>
      <c r="O33">
        <v>26124.48</v>
      </c>
    </row>
    <row r="34" spans="1:15" x14ac:dyDescent="0.3">
      <c r="A34" t="s">
        <v>73</v>
      </c>
      <c r="B34" s="1">
        <v>45671</v>
      </c>
      <c r="C34" t="s">
        <v>16</v>
      </c>
      <c r="D34" t="s">
        <v>24</v>
      </c>
      <c r="E34" t="s">
        <v>25</v>
      </c>
      <c r="F34" t="s">
        <v>29</v>
      </c>
      <c r="G34" t="s">
        <v>39</v>
      </c>
      <c r="H34" t="s">
        <v>21</v>
      </c>
      <c r="I34">
        <v>17</v>
      </c>
      <c r="J34">
        <v>888.29</v>
      </c>
      <c r="K34">
        <v>15100.93</v>
      </c>
      <c r="L34" t="s">
        <v>22</v>
      </c>
      <c r="M34" t="s">
        <v>22</v>
      </c>
      <c r="N34" s="1">
        <v>46203</v>
      </c>
      <c r="O34">
        <v>15100.93</v>
      </c>
    </row>
    <row r="35" spans="1:15" x14ac:dyDescent="0.3">
      <c r="A35" t="s">
        <v>74</v>
      </c>
      <c r="B35" s="1">
        <v>45671</v>
      </c>
      <c r="C35" t="s">
        <v>16</v>
      </c>
      <c r="D35" t="s">
        <v>49</v>
      </c>
      <c r="E35" t="s">
        <v>28</v>
      </c>
      <c r="F35" t="s">
        <v>29</v>
      </c>
      <c r="G35" t="s">
        <v>39</v>
      </c>
      <c r="H35" t="s">
        <v>21</v>
      </c>
      <c r="I35">
        <v>17</v>
      </c>
      <c r="J35">
        <v>473.87</v>
      </c>
      <c r="K35">
        <v>8055.79</v>
      </c>
      <c r="L35" t="s">
        <v>22</v>
      </c>
      <c r="M35" t="s">
        <v>22</v>
      </c>
      <c r="N35" s="1">
        <v>46203</v>
      </c>
      <c r="O35">
        <v>8055.79</v>
      </c>
    </row>
    <row r="36" spans="1:15" x14ac:dyDescent="0.3">
      <c r="A36" t="s">
        <v>75</v>
      </c>
      <c r="B36" s="1">
        <v>45671</v>
      </c>
      <c r="C36" t="s">
        <v>16</v>
      </c>
      <c r="D36" t="s">
        <v>49</v>
      </c>
      <c r="E36" t="s">
        <v>25</v>
      </c>
      <c r="F36" t="s">
        <v>51</v>
      </c>
      <c r="G36" t="s">
        <v>39</v>
      </c>
      <c r="H36" t="s">
        <v>21</v>
      </c>
      <c r="I36">
        <v>17</v>
      </c>
      <c r="J36">
        <v>535.54999999999995</v>
      </c>
      <c r="K36">
        <v>9104.35</v>
      </c>
      <c r="L36" t="s">
        <v>22</v>
      </c>
      <c r="M36" t="s">
        <v>22</v>
      </c>
      <c r="N36" s="1">
        <v>46203</v>
      </c>
      <c r="O36">
        <v>9104.35</v>
      </c>
    </row>
    <row r="37" spans="1:15" x14ac:dyDescent="0.3">
      <c r="A37" t="s">
        <v>76</v>
      </c>
      <c r="B37" s="1">
        <v>45671</v>
      </c>
      <c r="C37" t="s">
        <v>16</v>
      </c>
      <c r="D37" t="s">
        <v>24</v>
      </c>
      <c r="E37" t="s">
        <v>25</v>
      </c>
      <c r="F37" t="s">
        <v>33</v>
      </c>
      <c r="G37" t="s">
        <v>39</v>
      </c>
      <c r="H37" t="s">
        <v>40</v>
      </c>
      <c r="I37">
        <v>15</v>
      </c>
      <c r="J37">
        <v>890.33</v>
      </c>
      <c r="K37">
        <v>13354.95</v>
      </c>
      <c r="L37" t="s">
        <v>30</v>
      </c>
      <c r="M37" t="s">
        <v>43</v>
      </c>
      <c r="N37" s="1">
        <v>46132</v>
      </c>
      <c r="O37">
        <v>13354.95</v>
      </c>
    </row>
    <row r="38" spans="1:15" x14ac:dyDescent="0.3">
      <c r="A38" t="s">
        <v>77</v>
      </c>
      <c r="B38" s="1">
        <v>45672</v>
      </c>
      <c r="C38" t="s">
        <v>16</v>
      </c>
      <c r="D38" t="s">
        <v>49</v>
      </c>
      <c r="E38" t="s">
        <v>28</v>
      </c>
      <c r="F38" t="s">
        <v>29</v>
      </c>
      <c r="G38" t="s">
        <v>39</v>
      </c>
      <c r="H38" t="s">
        <v>21</v>
      </c>
      <c r="I38">
        <v>17</v>
      </c>
      <c r="J38">
        <v>519.16999999999996</v>
      </c>
      <c r="K38">
        <v>8825.89</v>
      </c>
      <c r="L38" t="s">
        <v>22</v>
      </c>
      <c r="M38" t="s">
        <v>22</v>
      </c>
      <c r="N38" s="1">
        <v>46203</v>
      </c>
      <c r="O38">
        <v>8825.89</v>
      </c>
    </row>
    <row r="39" spans="1:15" x14ac:dyDescent="0.3">
      <c r="A39" t="s">
        <v>78</v>
      </c>
      <c r="B39" s="1">
        <v>45673</v>
      </c>
      <c r="C39" t="s">
        <v>16</v>
      </c>
      <c r="D39" t="s">
        <v>24</v>
      </c>
      <c r="E39" t="s">
        <v>25</v>
      </c>
      <c r="F39" t="s">
        <v>38</v>
      </c>
      <c r="G39" t="s">
        <v>26</v>
      </c>
      <c r="H39" t="s">
        <v>21</v>
      </c>
      <c r="I39">
        <v>17</v>
      </c>
      <c r="J39">
        <v>904.66</v>
      </c>
      <c r="K39">
        <v>15379.22</v>
      </c>
      <c r="L39" t="s">
        <v>22</v>
      </c>
      <c r="M39" t="s">
        <v>22</v>
      </c>
      <c r="N39" s="1">
        <v>46203</v>
      </c>
      <c r="O39">
        <v>15379.22</v>
      </c>
    </row>
    <row r="40" spans="1:15" x14ac:dyDescent="0.3">
      <c r="A40" t="s">
        <v>79</v>
      </c>
      <c r="B40" s="1">
        <v>45673</v>
      </c>
      <c r="C40" t="s">
        <v>16</v>
      </c>
      <c r="D40" t="s">
        <v>24</v>
      </c>
      <c r="E40" t="s">
        <v>25</v>
      </c>
      <c r="F40" t="s">
        <v>29</v>
      </c>
      <c r="G40" t="s">
        <v>20</v>
      </c>
      <c r="H40" t="s">
        <v>21</v>
      </c>
      <c r="I40">
        <v>5</v>
      </c>
      <c r="J40">
        <v>881.59</v>
      </c>
      <c r="K40">
        <v>4407.95</v>
      </c>
      <c r="L40" t="s">
        <v>30</v>
      </c>
      <c r="M40" t="s">
        <v>80</v>
      </c>
      <c r="N40" s="1">
        <v>45810</v>
      </c>
      <c r="O40">
        <v>4407.95</v>
      </c>
    </row>
    <row r="41" spans="1:15" x14ac:dyDescent="0.3">
      <c r="A41" t="s">
        <v>81</v>
      </c>
      <c r="B41" s="1">
        <v>45673</v>
      </c>
      <c r="C41" t="s">
        <v>16</v>
      </c>
      <c r="D41" t="s">
        <v>17</v>
      </c>
      <c r="E41" t="s">
        <v>28</v>
      </c>
      <c r="F41" t="s">
        <v>33</v>
      </c>
      <c r="G41" t="s">
        <v>39</v>
      </c>
      <c r="H41" t="s">
        <v>21</v>
      </c>
      <c r="I41">
        <v>17</v>
      </c>
      <c r="J41">
        <v>1639.13</v>
      </c>
      <c r="K41">
        <v>27865.21</v>
      </c>
      <c r="L41" t="s">
        <v>22</v>
      </c>
      <c r="M41" t="s">
        <v>22</v>
      </c>
      <c r="N41" s="1">
        <v>46203</v>
      </c>
      <c r="O41">
        <v>27865.21</v>
      </c>
    </row>
    <row r="42" spans="1:15" x14ac:dyDescent="0.3">
      <c r="A42" t="s">
        <v>82</v>
      </c>
      <c r="B42" s="1">
        <v>45673</v>
      </c>
      <c r="C42" t="s">
        <v>16</v>
      </c>
      <c r="D42" t="s">
        <v>49</v>
      </c>
      <c r="E42" t="s">
        <v>18</v>
      </c>
      <c r="F42" t="s">
        <v>38</v>
      </c>
      <c r="G42" t="s">
        <v>20</v>
      </c>
      <c r="H42" t="s">
        <v>21</v>
      </c>
      <c r="I42">
        <v>17</v>
      </c>
      <c r="J42">
        <v>469.83</v>
      </c>
      <c r="K42">
        <v>7987.11</v>
      </c>
      <c r="L42" t="s">
        <v>22</v>
      </c>
      <c r="M42" t="s">
        <v>22</v>
      </c>
      <c r="N42" s="1">
        <v>46203</v>
      </c>
      <c r="O42">
        <v>7987.11</v>
      </c>
    </row>
    <row r="43" spans="1:15" x14ac:dyDescent="0.3">
      <c r="A43" t="s">
        <v>83</v>
      </c>
      <c r="B43" s="1">
        <v>45673</v>
      </c>
      <c r="C43" t="s">
        <v>16</v>
      </c>
      <c r="D43" t="s">
        <v>49</v>
      </c>
      <c r="E43" t="s">
        <v>18</v>
      </c>
      <c r="F43" t="s">
        <v>19</v>
      </c>
      <c r="G43" t="s">
        <v>20</v>
      </c>
      <c r="H43" t="s">
        <v>34</v>
      </c>
      <c r="I43">
        <v>17</v>
      </c>
      <c r="J43">
        <v>536.82000000000005</v>
      </c>
      <c r="K43">
        <v>9125.94</v>
      </c>
      <c r="L43" t="s">
        <v>22</v>
      </c>
      <c r="M43" t="s">
        <v>22</v>
      </c>
      <c r="N43" s="1">
        <v>46203</v>
      </c>
      <c r="O43">
        <v>9125.94</v>
      </c>
    </row>
    <row r="44" spans="1:15" x14ac:dyDescent="0.3">
      <c r="A44" t="s">
        <v>84</v>
      </c>
      <c r="B44" s="1">
        <v>45674</v>
      </c>
      <c r="C44" t="s">
        <v>16</v>
      </c>
      <c r="D44" t="s">
        <v>24</v>
      </c>
      <c r="E44" t="s">
        <v>50</v>
      </c>
      <c r="F44" t="s">
        <v>51</v>
      </c>
      <c r="G44" t="s">
        <v>39</v>
      </c>
      <c r="H44" t="s">
        <v>40</v>
      </c>
      <c r="I44">
        <v>17</v>
      </c>
      <c r="J44">
        <v>837.29</v>
      </c>
      <c r="K44">
        <v>14233.93</v>
      </c>
      <c r="L44" t="s">
        <v>22</v>
      </c>
      <c r="M44" t="s">
        <v>22</v>
      </c>
      <c r="N44" s="1">
        <v>46203</v>
      </c>
      <c r="O44">
        <v>14233.93</v>
      </c>
    </row>
    <row r="45" spans="1:15" x14ac:dyDescent="0.3">
      <c r="A45" t="s">
        <v>85</v>
      </c>
      <c r="B45" s="1">
        <v>45674</v>
      </c>
      <c r="C45" t="s">
        <v>16</v>
      </c>
      <c r="D45" t="s">
        <v>49</v>
      </c>
      <c r="E45" t="s">
        <v>18</v>
      </c>
      <c r="F45" t="s">
        <v>51</v>
      </c>
      <c r="G45" t="s">
        <v>39</v>
      </c>
      <c r="H45" t="s">
        <v>21</v>
      </c>
      <c r="I45">
        <v>17</v>
      </c>
      <c r="J45">
        <v>460.74</v>
      </c>
      <c r="K45">
        <v>7832.58</v>
      </c>
      <c r="L45" t="s">
        <v>22</v>
      </c>
      <c r="M45" t="s">
        <v>22</v>
      </c>
      <c r="N45" s="1">
        <v>46203</v>
      </c>
      <c r="O45">
        <v>7832.58</v>
      </c>
    </row>
    <row r="46" spans="1:15" x14ac:dyDescent="0.3">
      <c r="A46" t="s">
        <v>86</v>
      </c>
      <c r="B46" s="1">
        <v>45674</v>
      </c>
      <c r="C46" t="s">
        <v>16</v>
      </c>
      <c r="D46" t="s">
        <v>49</v>
      </c>
      <c r="E46" t="s">
        <v>50</v>
      </c>
      <c r="F46" t="s">
        <v>29</v>
      </c>
      <c r="G46" t="s">
        <v>39</v>
      </c>
      <c r="H46" t="s">
        <v>34</v>
      </c>
      <c r="I46">
        <v>17</v>
      </c>
      <c r="J46">
        <v>535.29</v>
      </c>
      <c r="K46">
        <v>9099.93</v>
      </c>
      <c r="L46" t="s">
        <v>22</v>
      </c>
      <c r="M46" t="s">
        <v>22</v>
      </c>
      <c r="N46" s="1">
        <v>46203</v>
      </c>
      <c r="O46">
        <v>9099.93</v>
      </c>
    </row>
    <row r="47" spans="1:15" x14ac:dyDescent="0.3">
      <c r="A47" t="s">
        <v>87</v>
      </c>
      <c r="B47" s="1">
        <v>45675</v>
      </c>
      <c r="C47" t="s">
        <v>16</v>
      </c>
      <c r="D47" t="s">
        <v>17</v>
      </c>
      <c r="E47" t="s">
        <v>50</v>
      </c>
      <c r="F47" t="s">
        <v>38</v>
      </c>
      <c r="G47" t="s">
        <v>39</v>
      </c>
      <c r="H47" t="s">
        <v>40</v>
      </c>
      <c r="I47">
        <v>17</v>
      </c>
      <c r="J47">
        <v>1403.96</v>
      </c>
      <c r="K47">
        <v>23867.32</v>
      </c>
      <c r="L47" t="s">
        <v>22</v>
      </c>
      <c r="M47" t="s">
        <v>22</v>
      </c>
      <c r="N47" s="1">
        <v>46203</v>
      </c>
      <c r="O47">
        <v>23867.32</v>
      </c>
    </row>
    <row r="48" spans="1:15" x14ac:dyDescent="0.3">
      <c r="A48" t="s">
        <v>88</v>
      </c>
      <c r="B48" s="1">
        <v>45676</v>
      </c>
      <c r="C48" t="s">
        <v>16</v>
      </c>
      <c r="D48" t="s">
        <v>24</v>
      </c>
      <c r="E48" t="s">
        <v>18</v>
      </c>
      <c r="F48" t="s">
        <v>19</v>
      </c>
      <c r="G48" t="s">
        <v>20</v>
      </c>
      <c r="H48" t="s">
        <v>34</v>
      </c>
      <c r="I48">
        <v>17</v>
      </c>
      <c r="J48">
        <v>939.82</v>
      </c>
      <c r="K48">
        <v>15976.94</v>
      </c>
      <c r="L48" t="s">
        <v>22</v>
      </c>
      <c r="M48" t="s">
        <v>22</v>
      </c>
      <c r="N48" s="1">
        <v>46203</v>
      </c>
      <c r="O48">
        <v>15976.94</v>
      </c>
    </row>
    <row r="49" spans="1:15" x14ac:dyDescent="0.3">
      <c r="A49" t="s">
        <v>89</v>
      </c>
      <c r="B49" s="1">
        <v>45676</v>
      </c>
      <c r="C49" t="s">
        <v>16</v>
      </c>
      <c r="D49" t="s">
        <v>49</v>
      </c>
      <c r="E49" t="s">
        <v>25</v>
      </c>
      <c r="F49" t="s">
        <v>33</v>
      </c>
      <c r="G49" t="s">
        <v>39</v>
      </c>
      <c r="H49" t="s">
        <v>34</v>
      </c>
      <c r="I49">
        <v>17</v>
      </c>
      <c r="J49">
        <v>495</v>
      </c>
      <c r="K49">
        <v>8415</v>
      </c>
      <c r="L49" t="s">
        <v>22</v>
      </c>
      <c r="M49" t="s">
        <v>22</v>
      </c>
      <c r="N49" s="1">
        <v>46203</v>
      </c>
      <c r="O49">
        <v>8415</v>
      </c>
    </row>
    <row r="50" spans="1:15" x14ac:dyDescent="0.3">
      <c r="A50" t="s">
        <v>90</v>
      </c>
      <c r="B50" s="1">
        <v>45676</v>
      </c>
      <c r="C50" t="s">
        <v>16</v>
      </c>
      <c r="D50" t="s">
        <v>17</v>
      </c>
      <c r="E50" t="s">
        <v>25</v>
      </c>
      <c r="F50" t="s">
        <v>38</v>
      </c>
      <c r="G50" t="s">
        <v>39</v>
      </c>
      <c r="H50" t="s">
        <v>21</v>
      </c>
      <c r="I50">
        <v>17</v>
      </c>
      <c r="J50">
        <v>1374.07</v>
      </c>
      <c r="K50">
        <v>23359.19</v>
      </c>
      <c r="L50" t="s">
        <v>22</v>
      </c>
      <c r="M50" t="s">
        <v>22</v>
      </c>
      <c r="N50" s="1">
        <v>46203</v>
      </c>
      <c r="O50">
        <v>23359.19</v>
      </c>
    </row>
    <row r="51" spans="1:15" x14ac:dyDescent="0.3">
      <c r="A51" t="s">
        <v>91</v>
      </c>
      <c r="B51" s="1">
        <v>45677</v>
      </c>
      <c r="C51" t="s">
        <v>16</v>
      </c>
      <c r="D51" t="s">
        <v>24</v>
      </c>
      <c r="E51" t="s">
        <v>50</v>
      </c>
      <c r="F51" t="s">
        <v>19</v>
      </c>
      <c r="G51" t="s">
        <v>39</v>
      </c>
      <c r="H51" t="s">
        <v>21</v>
      </c>
      <c r="I51">
        <v>17</v>
      </c>
      <c r="J51">
        <v>858.67</v>
      </c>
      <c r="K51">
        <v>14597.39</v>
      </c>
      <c r="L51" t="s">
        <v>22</v>
      </c>
      <c r="M51" t="s">
        <v>22</v>
      </c>
      <c r="N51" s="1">
        <v>46203</v>
      </c>
      <c r="O51">
        <v>14597.39</v>
      </c>
    </row>
    <row r="52" spans="1:15" x14ac:dyDescent="0.3">
      <c r="A52" t="s">
        <v>92</v>
      </c>
      <c r="B52" s="1">
        <v>45677</v>
      </c>
      <c r="C52" t="s">
        <v>16</v>
      </c>
      <c r="D52" t="s">
        <v>17</v>
      </c>
      <c r="E52" t="s">
        <v>25</v>
      </c>
      <c r="F52" t="s">
        <v>33</v>
      </c>
      <c r="G52" t="s">
        <v>20</v>
      </c>
      <c r="H52" t="s">
        <v>21</v>
      </c>
      <c r="I52">
        <v>17</v>
      </c>
      <c r="J52">
        <v>1395.72</v>
      </c>
      <c r="K52">
        <v>23727.24</v>
      </c>
      <c r="L52" t="s">
        <v>22</v>
      </c>
      <c r="M52" t="s">
        <v>22</v>
      </c>
      <c r="N52" s="1">
        <v>46203</v>
      </c>
      <c r="O52">
        <v>23727.24</v>
      </c>
    </row>
    <row r="53" spans="1:15" x14ac:dyDescent="0.3">
      <c r="A53" t="s">
        <v>93</v>
      </c>
      <c r="B53" s="1">
        <v>45677</v>
      </c>
      <c r="C53" t="s">
        <v>16</v>
      </c>
      <c r="D53" t="s">
        <v>49</v>
      </c>
      <c r="E53" t="s">
        <v>25</v>
      </c>
      <c r="F53" t="s">
        <v>51</v>
      </c>
      <c r="G53" t="s">
        <v>39</v>
      </c>
      <c r="H53" t="s">
        <v>45</v>
      </c>
      <c r="I53">
        <v>17</v>
      </c>
      <c r="J53">
        <v>487.85</v>
      </c>
      <c r="K53">
        <v>8293.4500000000007</v>
      </c>
      <c r="L53" t="s">
        <v>22</v>
      </c>
      <c r="M53" t="s">
        <v>22</v>
      </c>
      <c r="N53" s="1">
        <v>46203</v>
      </c>
      <c r="O53">
        <v>8293.4500000000007</v>
      </c>
    </row>
    <row r="54" spans="1:15" x14ac:dyDescent="0.3">
      <c r="A54" t="s">
        <v>94</v>
      </c>
      <c r="B54" s="1">
        <v>45678</v>
      </c>
      <c r="C54" t="s">
        <v>16</v>
      </c>
      <c r="D54" t="s">
        <v>24</v>
      </c>
      <c r="E54" t="s">
        <v>18</v>
      </c>
      <c r="F54" t="s">
        <v>51</v>
      </c>
      <c r="G54" t="s">
        <v>20</v>
      </c>
      <c r="H54" t="s">
        <v>21</v>
      </c>
      <c r="I54">
        <v>7</v>
      </c>
      <c r="J54">
        <v>810.11</v>
      </c>
      <c r="K54">
        <v>5670.77</v>
      </c>
      <c r="L54" t="s">
        <v>30</v>
      </c>
      <c r="M54" t="s">
        <v>36</v>
      </c>
      <c r="N54" s="1">
        <v>45891</v>
      </c>
      <c r="O54">
        <v>5670.77</v>
      </c>
    </row>
    <row r="55" spans="1:15" x14ac:dyDescent="0.3">
      <c r="A55" t="s">
        <v>95</v>
      </c>
      <c r="B55" s="1">
        <v>45678</v>
      </c>
      <c r="C55" t="s">
        <v>16</v>
      </c>
      <c r="D55" t="s">
        <v>24</v>
      </c>
      <c r="E55" t="s">
        <v>28</v>
      </c>
      <c r="F55" t="s">
        <v>19</v>
      </c>
      <c r="G55" t="s">
        <v>39</v>
      </c>
      <c r="H55" t="s">
        <v>21</v>
      </c>
      <c r="I55">
        <v>1</v>
      </c>
      <c r="J55">
        <v>978.61</v>
      </c>
      <c r="K55">
        <v>978.61</v>
      </c>
      <c r="L55" t="s">
        <v>30</v>
      </c>
      <c r="M55" t="s">
        <v>31</v>
      </c>
      <c r="N55" s="1">
        <v>45719</v>
      </c>
      <c r="O55">
        <v>978.61</v>
      </c>
    </row>
    <row r="56" spans="1:15" x14ac:dyDescent="0.3">
      <c r="A56" t="s">
        <v>96</v>
      </c>
      <c r="B56" s="1">
        <v>45679</v>
      </c>
      <c r="C56" t="s">
        <v>16</v>
      </c>
      <c r="D56" t="s">
        <v>49</v>
      </c>
      <c r="E56" t="s">
        <v>18</v>
      </c>
      <c r="F56" t="s">
        <v>38</v>
      </c>
      <c r="G56" t="s">
        <v>20</v>
      </c>
      <c r="H56" t="s">
        <v>40</v>
      </c>
      <c r="I56">
        <v>17</v>
      </c>
      <c r="J56">
        <v>467.34</v>
      </c>
      <c r="K56">
        <v>7944.78</v>
      </c>
      <c r="L56" t="s">
        <v>22</v>
      </c>
      <c r="M56" t="s">
        <v>22</v>
      </c>
      <c r="N56" s="1">
        <v>46203</v>
      </c>
      <c r="O56">
        <v>7944.78</v>
      </c>
    </row>
    <row r="57" spans="1:15" x14ac:dyDescent="0.3">
      <c r="A57" t="s">
        <v>97</v>
      </c>
      <c r="B57" s="1">
        <v>45680</v>
      </c>
      <c r="C57" t="s">
        <v>16</v>
      </c>
      <c r="D57" t="s">
        <v>49</v>
      </c>
      <c r="E57" t="s">
        <v>25</v>
      </c>
      <c r="F57" t="s">
        <v>29</v>
      </c>
      <c r="G57" t="s">
        <v>39</v>
      </c>
      <c r="H57" t="s">
        <v>21</v>
      </c>
      <c r="I57">
        <v>5</v>
      </c>
      <c r="J57">
        <v>535.24</v>
      </c>
      <c r="K57">
        <v>2676.2</v>
      </c>
      <c r="L57" t="s">
        <v>30</v>
      </c>
      <c r="M57" t="s">
        <v>31</v>
      </c>
      <c r="N57" s="1">
        <v>45827</v>
      </c>
      <c r="O57">
        <v>2676.2</v>
      </c>
    </row>
    <row r="58" spans="1:15" x14ac:dyDescent="0.3">
      <c r="A58" t="s">
        <v>98</v>
      </c>
      <c r="B58" s="1">
        <v>45681</v>
      </c>
      <c r="C58" t="s">
        <v>16</v>
      </c>
      <c r="D58" t="s">
        <v>24</v>
      </c>
      <c r="E58" t="s">
        <v>25</v>
      </c>
      <c r="F58" t="s">
        <v>29</v>
      </c>
      <c r="G58" t="s">
        <v>20</v>
      </c>
      <c r="H58" t="s">
        <v>21</v>
      </c>
      <c r="I58">
        <v>17</v>
      </c>
      <c r="J58">
        <v>939.26</v>
      </c>
      <c r="K58">
        <v>15967.42</v>
      </c>
      <c r="L58" t="s">
        <v>22</v>
      </c>
      <c r="M58" t="s">
        <v>22</v>
      </c>
      <c r="N58" s="1">
        <v>46203</v>
      </c>
      <c r="O58">
        <v>15967.42</v>
      </c>
    </row>
    <row r="59" spans="1:15" x14ac:dyDescent="0.3">
      <c r="A59" t="s">
        <v>99</v>
      </c>
      <c r="B59" s="1">
        <v>45681</v>
      </c>
      <c r="C59" t="s">
        <v>16</v>
      </c>
      <c r="D59" t="s">
        <v>49</v>
      </c>
      <c r="E59" t="s">
        <v>28</v>
      </c>
      <c r="F59" t="s">
        <v>19</v>
      </c>
      <c r="G59" t="s">
        <v>20</v>
      </c>
      <c r="H59" t="s">
        <v>21</v>
      </c>
      <c r="I59">
        <v>9</v>
      </c>
      <c r="J59">
        <v>524.16999999999996</v>
      </c>
      <c r="K59">
        <v>4717.53</v>
      </c>
      <c r="L59" t="s">
        <v>30</v>
      </c>
      <c r="M59" t="s">
        <v>80</v>
      </c>
      <c r="N59" s="1">
        <v>45964</v>
      </c>
      <c r="O59">
        <v>4717.53</v>
      </c>
    </row>
    <row r="60" spans="1:15" x14ac:dyDescent="0.3">
      <c r="A60" t="s">
        <v>100</v>
      </c>
      <c r="B60" s="1">
        <v>45682</v>
      </c>
      <c r="C60" t="s">
        <v>16</v>
      </c>
      <c r="D60" t="s">
        <v>17</v>
      </c>
      <c r="E60" t="s">
        <v>25</v>
      </c>
      <c r="F60" t="s">
        <v>33</v>
      </c>
      <c r="G60" t="s">
        <v>39</v>
      </c>
      <c r="H60" t="s">
        <v>40</v>
      </c>
      <c r="I60">
        <v>17</v>
      </c>
      <c r="J60">
        <v>1595.92</v>
      </c>
      <c r="K60">
        <v>27130.639999999999</v>
      </c>
      <c r="L60" t="s">
        <v>30</v>
      </c>
      <c r="M60" t="s">
        <v>41</v>
      </c>
      <c r="N60" s="1">
        <v>46186</v>
      </c>
      <c r="O60">
        <v>27130.639999999999</v>
      </c>
    </row>
    <row r="61" spans="1:15" x14ac:dyDescent="0.3">
      <c r="A61" t="s">
        <v>101</v>
      </c>
      <c r="B61" s="1">
        <v>45682</v>
      </c>
      <c r="C61" t="s">
        <v>16</v>
      </c>
      <c r="D61" t="s">
        <v>24</v>
      </c>
      <c r="E61" t="s">
        <v>25</v>
      </c>
      <c r="F61" t="s">
        <v>33</v>
      </c>
      <c r="G61" t="s">
        <v>26</v>
      </c>
      <c r="H61" t="s">
        <v>21</v>
      </c>
      <c r="I61">
        <v>17</v>
      </c>
      <c r="J61">
        <v>855.95</v>
      </c>
      <c r="K61">
        <v>14551.15</v>
      </c>
      <c r="L61" t="s">
        <v>22</v>
      </c>
      <c r="M61" t="s">
        <v>22</v>
      </c>
      <c r="N61" s="1">
        <v>46203</v>
      </c>
      <c r="O61">
        <v>14551.15</v>
      </c>
    </row>
    <row r="62" spans="1:15" x14ac:dyDescent="0.3">
      <c r="A62" t="s">
        <v>102</v>
      </c>
      <c r="B62" s="1">
        <v>45682</v>
      </c>
      <c r="C62" t="s">
        <v>16</v>
      </c>
      <c r="D62" t="s">
        <v>49</v>
      </c>
      <c r="E62" t="s">
        <v>28</v>
      </c>
      <c r="F62" t="s">
        <v>19</v>
      </c>
      <c r="G62" t="s">
        <v>39</v>
      </c>
      <c r="H62" t="s">
        <v>21</v>
      </c>
      <c r="I62">
        <v>7</v>
      </c>
      <c r="J62">
        <v>504.05</v>
      </c>
      <c r="K62">
        <v>3528.35</v>
      </c>
      <c r="L62" t="s">
        <v>30</v>
      </c>
      <c r="M62" t="s">
        <v>31</v>
      </c>
      <c r="N62" s="1">
        <v>45891</v>
      </c>
      <c r="O62">
        <v>3528.35</v>
      </c>
    </row>
    <row r="63" spans="1:15" x14ac:dyDescent="0.3">
      <c r="A63" t="s">
        <v>103</v>
      </c>
      <c r="B63" s="1">
        <v>45683</v>
      </c>
      <c r="C63" t="s">
        <v>16</v>
      </c>
      <c r="D63" t="s">
        <v>24</v>
      </c>
      <c r="E63" t="s">
        <v>25</v>
      </c>
      <c r="F63" t="s">
        <v>19</v>
      </c>
      <c r="G63" t="s">
        <v>39</v>
      </c>
      <c r="H63" t="s">
        <v>34</v>
      </c>
      <c r="I63">
        <v>17</v>
      </c>
      <c r="J63">
        <v>909.22</v>
      </c>
      <c r="K63">
        <v>15456.74</v>
      </c>
      <c r="L63" t="s">
        <v>22</v>
      </c>
      <c r="M63" t="s">
        <v>22</v>
      </c>
      <c r="N63" s="1">
        <v>46203</v>
      </c>
      <c r="O63">
        <v>15456.74</v>
      </c>
    </row>
    <row r="64" spans="1:15" x14ac:dyDescent="0.3">
      <c r="A64" t="s">
        <v>104</v>
      </c>
      <c r="B64" s="1">
        <v>45684</v>
      </c>
      <c r="C64" t="s">
        <v>16</v>
      </c>
      <c r="D64" t="s">
        <v>24</v>
      </c>
      <c r="E64" t="s">
        <v>28</v>
      </c>
      <c r="F64" t="s">
        <v>51</v>
      </c>
      <c r="G64" t="s">
        <v>39</v>
      </c>
      <c r="H64" t="s">
        <v>40</v>
      </c>
      <c r="I64">
        <v>2</v>
      </c>
      <c r="J64">
        <v>809.81</v>
      </c>
      <c r="K64">
        <v>1619.62</v>
      </c>
      <c r="L64" t="s">
        <v>30</v>
      </c>
      <c r="M64" t="s">
        <v>43</v>
      </c>
      <c r="N64" s="1">
        <v>45742</v>
      </c>
      <c r="O64">
        <v>1619.62</v>
      </c>
    </row>
    <row r="65" spans="1:15" x14ac:dyDescent="0.3">
      <c r="A65" t="s">
        <v>105</v>
      </c>
      <c r="B65" s="1">
        <v>45685</v>
      </c>
      <c r="C65" t="s">
        <v>16</v>
      </c>
      <c r="D65" t="s">
        <v>24</v>
      </c>
      <c r="E65" t="s">
        <v>28</v>
      </c>
      <c r="F65" t="s">
        <v>19</v>
      </c>
      <c r="G65" t="s">
        <v>20</v>
      </c>
      <c r="H65" t="s">
        <v>40</v>
      </c>
      <c r="I65">
        <v>17</v>
      </c>
      <c r="J65">
        <v>844</v>
      </c>
      <c r="K65">
        <v>14348</v>
      </c>
      <c r="L65" t="s">
        <v>22</v>
      </c>
      <c r="M65" t="s">
        <v>22</v>
      </c>
      <c r="N65" s="1">
        <v>46203</v>
      </c>
      <c r="O65">
        <v>14348</v>
      </c>
    </row>
    <row r="66" spans="1:15" x14ac:dyDescent="0.3">
      <c r="A66" t="s">
        <v>106</v>
      </c>
      <c r="B66" s="1">
        <v>45686</v>
      </c>
      <c r="C66" t="s">
        <v>16</v>
      </c>
      <c r="D66" t="s">
        <v>24</v>
      </c>
      <c r="E66" t="s">
        <v>25</v>
      </c>
      <c r="F66" t="s">
        <v>19</v>
      </c>
      <c r="G66" t="s">
        <v>20</v>
      </c>
      <c r="H66" t="s">
        <v>34</v>
      </c>
      <c r="I66">
        <v>17</v>
      </c>
      <c r="J66">
        <v>941.23</v>
      </c>
      <c r="K66">
        <v>16000.91</v>
      </c>
      <c r="L66" t="s">
        <v>22</v>
      </c>
      <c r="M66" t="s">
        <v>22</v>
      </c>
      <c r="N66" s="1">
        <v>46203</v>
      </c>
      <c r="O66">
        <v>16000.91</v>
      </c>
    </row>
    <row r="67" spans="1:15" x14ac:dyDescent="0.3">
      <c r="A67" t="s">
        <v>107</v>
      </c>
      <c r="B67" s="1">
        <v>45686</v>
      </c>
      <c r="C67" t="s">
        <v>16</v>
      </c>
      <c r="D67" t="s">
        <v>24</v>
      </c>
      <c r="E67" t="s">
        <v>25</v>
      </c>
      <c r="F67" t="s">
        <v>19</v>
      </c>
      <c r="G67" t="s">
        <v>20</v>
      </c>
      <c r="H67" t="s">
        <v>21</v>
      </c>
      <c r="I67">
        <v>17</v>
      </c>
      <c r="J67">
        <v>957.66</v>
      </c>
      <c r="K67">
        <v>16280.22</v>
      </c>
      <c r="L67" t="s">
        <v>22</v>
      </c>
      <c r="M67" t="s">
        <v>22</v>
      </c>
      <c r="N67" s="1">
        <v>46203</v>
      </c>
      <c r="O67">
        <v>16280.22</v>
      </c>
    </row>
    <row r="68" spans="1:15" x14ac:dyDescent="0.3">
      <c r="A68" t="s">
        <v>108</v>
      </c>
      <c r="B68" s="1">
        <v>45687</v>
      </c>
      <c r="C68" t="s">
        <v>16</v>
      </c>
      <c r="D68" t="s">
        <v>17</v>
      </c>
      <c r="E68" t="s">
        <v>25</v>
      </c>
      <c r="F68" t="s">
        <v>29</v>
      </c>
      <c r="G68" t="s">
        <v>39</v>
      </c>
      <c r="H68" t="s">
        <v>40</v>
      </c>
      <c r="I68">
        <v>14</v>
      </c>
      <c r="J68">
        <v>1545.65</v>
      </c>
      <c r="K68">
        <v>21639.1</v>
      </c>
      <c r="L68" t="s">
        <v>30</v>
      </c>
      <c r="M68" t="s">
        <v>80</v>
      </c>
      <c r="N68" s="1">
        <v>46116</v>
      </c>
      <c r="O68">
        <v>21639.1</v>
      </c>
    </row>
    <row r="69" spans="1:15" x14ac:dyDescent="0.3">
      <c r="A69" t="s">
        <v>109</v>
      </c>
      <c r="B69" s="1">
        <v>45688</v>
      </c>
      <c r="C69" t="s">
        <v>16</v>
      </c>
      <c r="D69" t="s">
        <v>24</v>
      </c>
      <c r="E69" t="s">
        <v>28</v>
      </c>
      <c r="F69" t="s">
        <v>38</v>
      </c>
      <c r="G69" t="s">
        <v>20</v>
      </c>
      <c r="H69" t="s">
        <v>21</v>
      </c>
      <c r="I69">
        <v>6</v>
      </c>
      <c r="J69">
        <v>821.26</v>
      </c>
      <c r="K69">
        <v>4927.5600000000004</v>
      </c>
      <c r="L69" t="s">
        <v>30</v>
      </c>
      <c r="M69" t="s">
        <v>36</v>
      </c>
      <c r="N69" s="1">
        <v>45864</v>
      </c>
      <c r="O69">
        <v>4927.5600000000004</v>
      </c>
    </row>
    <row r="70" spans="1:15" x14ac:dyDescent="0.3">
      <c r="A70" t="s">
        <v>110</v>
      </c>
      <c r="B70" s="1">
        <v>45688</v>
      </c>
      <c r="C70" t="s">
        <v>16</v>
      </c>
      <c r="D70" t="s">
        <v>17</v>
      </c>
      <c r="E70" t="s">
        <v>28</v>
      </c>
      <c r="F70" t="s">
        <v>33</v>
      </c>
      <c r="G70" t="s">
        <v>26</v>
      </c>
      <c r="H70" t="s">
        <v>40</v>
      </c>
      <c r="I70">
        <v>17</v>
      </c>
      <c r="J70">
        <v>1375.37</v>
      </c>
      <c r="K70">
        <v>23381.29</v>
      </c>
      <c r="L70" t="s">
        <v>22</v>
      </c>
      <c r="M70" t="s">
        <v>22</v>
      </c>
      <c r="N70" s="1">
        <v>46203</v>
      </c>
      <c r="O70">
        <v>23381.29</v>
      </c>
    </row>
    <row r="71" spans="1:15" x14ac:dyDescent="0.3">
      <c r="A71" t="s">
        <v>111</v>
      </c>
      <c r="B71" s="1">
        <v>45688</v>
      </c>
      <c r="C71" t="s">
        <v>16</v>
      </c>
      <c r="D71" t="s">
        <v>49</v>
      </c>
      <c r="E71" t="s">
        <v>28</v>
      </c>
      <c r="F71" t="s">
        <v>19</v>
      </c>
      <c r="G71" t="s">
        <v>39</v>
      </c>
      <c r="H71" t="s">
        <v>34</v>
      </c>
      <c r="I71">
        <v>12</v>
      </c>
      <c r="J71">
        <v>548.15</v>
      </c>
      <c r="K71">
        <v>6577.8</v>
      </c>
      <c r="L71" t="s">
        <v>30</v>
      </c>
      <c r="M71" t="s">
        <v>31</v>
      </c>
      <c r="N71" s="1">
        <v>46054</v>
      </c>
      <c r="O71">
        <v>6577.8</v>
      </c>
    </row>
    <row r="72" spans="1:15" x14ac:dyDescent="0.3">
      <c r="A72" t="s">
        <v>112</v>
      </c>
      <c r="B72" s="1">
        <v>45688</v>
      </c>
      <c r="C72" t="s">
        <v>16</v>
      </c>
      <c r="D72" t="s">
        <v>24</v>
      </c>
      <c r="E72" t="s">
        <v>18</v>
      </c>
      <c r="F72" t="s">
        <v>29</v>
      </c>
      <c r="G72" t="s">
        <v>26</v>
      </c>
      <c r="H72" t="s">
        <v>21</v>
      </c>
      <c r="I72">
        <v>17</v>
      </c>
      <c r="J72">
        <v>873.68</v>
      </c>
      <c r="K72">
        <v>14852.56</v>
      </c>
      <c r="L72" t="s">
        <v>22</v>
      </c>
      <c r="M72" t="s">
        <v>22</v>
      </c>
      <c r="N72" s="1">
        <v>46203</v>
      </c>
      <c r="O72">
        <v>14852.56</v>
      </c>
    </row>
    <row r="73" spans="1:15" x14ac:dyDescent="0.3">
      <c r="A73" t="s">
        <v>113</v>
      </c>
      <c r="B73" s="1">
        <v>45689</v>
      </c>
      <c r="C73" t="s">
        <v>114</v>
      </c>
      <c r="D73" t="s">
        <v>49</v>
      </c>
      <c r="E73" t="s">
        <v>18</v>
      </c>
      <c r="F73" t="s">
        <v>51</v>
      </c>
      <c r="G73" t="s">
        <v>39</v>
      </c>
      <c r="H73" t="s">
        <v>21</v>
      </c>
      <c r="I73">
        <v>17</v>
      </c>
      <c r="J73">
        <v>465.92</v>
      </c>
      <c r="K73">
        <v>7920.64</v>
      </c>
      <c r="L73" t="s">
        <v>22</v>
      </c>
      <c r="M73" t="s">
        <v>22</v>
      </c>
      <c r="N73" s="1">
        <v>46203</v>
      </c>
      <c r="O73">
        <v>7920.64</v>
      </c>
    </row>
    <row r="74" spans="1:15" x14ac:dyDescent="0.3">
      <c r="A74" t="s">
        <v>115</v>
      </c>
      <c r="B74" s="1">
        <v>45689</v>
      </c>
      <c r="C74" t="s">
        <v>114</v>
      </c>
      <c r="D74" t="s">
        <v>49</v>
      </c>
      <c r="E74" t="s">
        <v>25</v>
      </c>
      <c r="F74" t="s">
        <v>29</v>
      </c>
      <c r="G74" t="s">
        <v>39</v>
      </c>
      <c r="H74" t="s">
        <v>21</v>
      </c>
      <c r="I74">
        <v>17</v>
      </c>
      <c r="J74">
        <v>491.95</v>
      </c>
      <c r="K74">
        <v>8363.15</v>
      </c>
      <c r="L74" t="s">
        <v>22</v>
      </c>
      <c r="M74" t="s">
        <v>22</v>
      </c>
      <c r="N74" s="1">
        <v>46203</v>
      </c>
      <c r="O74">
        <v>8363.15</v>
      </c>
    </row>
    <row r="75" spans="1:15" x14ac:dyDescent="0.3">
      <c r="A75" t="s">
        <v>116</v>
      </c>
      <c r="B75" s="1">
        <v>45689</v>
      </c>
      <c r="C75" t="s">
        <v>114</v>
      </c>
      <c r="D75" t="s">
        <v>24</v>
      </c>
      <c r="E75" t="s">
        <v>28</v>
      </c>
      <c r="F75" t="s">
        <v>29</v>
      </c>
      <c r="G75" t="s">
        <v>39</v>
      </c>
      <c r="H75" t="s">
        <v>34</v>
      </c>
      <c r="I75">
        <v>17</v>
      </c>
      <c r="J75">
        <v>861.44</v>
      </c>
      <c r="K75">
        <v>14644.48</v>
      </c>
      <c r="L75" t="s">
        <v>22</v>
      </c>
      <c r="M75" t="s">
        <v>22</v>
      </c>
      <c r="N75" s="1">
        <v>46203</v>
      </c>
      <c r="O75">
        <v>14644.48</v>
      </c>
    </row>
    <row r="76" spans="1:15" x14ac:dyDescent="0.3">
      <c r="A76" t="s">
        <v>117</v>
      </c>
      <c r="B76" s="1">
        <v>45689</v>
      </c>
      <c r="C76" t="s">
        <v>114</v>
      </c>
      <c r="D76" t="s">
        <v>24</v>
      </c>
      <c r="E76" t="s">
        <v>18</v>
      </c>
      <c r="F76" t="s">
        <v>29</v>
      </c>
      <c r="G76" t="s">
        <v>39</v>
      </c>
      <c r="H76" t="s">
        <v>21</v>
      </c>
      <c r="I76">
        <v>17</v>
      </c>
      <c r="J76">
        <v>935.99</v>
      </c>
      <c r="K76">
        <v>15911.83</v>
      </c>
      <c r="L76" t="s">
        <v>22</v>
      </c>
      <c r="M76" t="s">
        <v>22</v>
      </c>
      <c r="N76" s="1">
        <v>46203</v>
      </c>
      <c r="O76">
        <v>15911.83</v>
      </c>
    </row>
    <row r="77" spans="1:15" x14ac:dyDescent="0.3">
      <c r="A77" t="s">
        <v>118</v>
      </c>
      <c r="B77" s="1">
        <v>45690</v>
      </c>
      <c r="C77" t="s">
        <v>114</v>
      </c>
      <c r="D77" t="s">
        <v>24</v>
      </c>
      <c r="E77" t="s">
        <v>18</v>
      </c>
      <c r="F77" t="s">
        <v>33</v>
      </c>
      <c r="G77" t="s">
        <v>39</v>
      </c>
      <c r="H77" t="s">
        <v>21</v>
      </c>
      <c r="I77">
        <v>17</v>
      </c>
      <c r="J77">
        <v>839.88</v>
      </c>
      <c r="K77">
        <v>14277.96</v>
      </c>
      <c r="L77" t="s">
        <v>22</v>
      </c>
      <c r="M77" t="s">
        <v>22</v>
      </c>
      <c r="N77" s="1">
        <v>46203</v>
      </c>
      <c r="O77">
        <v>14277.96</v>
      </c>
    </row>
    <row r="78" spans="1:15" x14ac:dyDescent="0.3">
      <c r="A78" t="s">
        <v>119</v>
      </c>
      <c r="B78" s="1">
        <v>45690</v>
      </c>
      <c r="C78" t="s">
        <v>114</v>
      </c>
      <c r="D78" t="s">
        <v>24</v>
      </c>
      <c r="E78" t="s">
        <v>28</v>
      </c>
      <c r="F78" t="s">
        <v>29</v>
      </c>
      <c r="G78" t="s">
        <v>39</v>
      </c>
      <c r="H78" t="s">
        <v>21</v>
      </c>
      <c r="I78">
        <v>17</v>
      </c>
      <c r="J78">
        <v>965.32</v>
      </c>
      <c r="K78">
        <v>16410.439999999999</v>
      </c>
      <c r="L78" t="s">
        <v>22</v>
      </c>
      <c r="M78" t="s">
        <v>22</v>
      </c>
      <c r="N78" s="1">
        <v>46203</v>
      </c>
      <c r="O78">
        <v>16410.439999999999</v>
      </c>
    </row>
    <row r="79" spans="1:15" x14ac:dyDescent="0.3">
      <c r="A79" t="s">
        <v>120</v>
      </c>
      <c r="B79" s="1">
        <v>45690</v>
      </c>
      <c r="C79" t="s">
        <v>114</v>
      </c>
      <c r="D79" t="s">
        <v>24</v>
      </c>
      <c r="E79" t="s">
        <v>25</v>
      </c>
      <c r="F79" t="s">
        <v>29</v>
      </c>
      <c r="G79" t="s">
        <v>39</v>
      </c>
      <c r="H79" t="s">
        <v>21</v>
      </c>
      <c r="I79">
        <v>17</v>
      </c>
      <c r="J79">
        <v>865.13</v>
      </c>
      <c r="K79">
        <v>14707.21</v>
      </c>
      <c r="L79" t="s">
        <v>22</v>
      </c>
      <c r="M79" t="s">
        <v>22</v>
      </c>
      <c r="N79" s="1">
        <v>46203</v>
      </c>
      <c r="O79">
        <v>14707.21</v>
      </c>
    </row>
    <row r="80" spans="1:15" x14ac:dyDescent="0.3">
      <c r="A80" t="s">
        <v>121</v>
      </c>
      <c r="B80" s="1">
        <v>45690</v>
      </c>
      <c r="C80" t="s">
        <v>114</v>
      </c>
      <c r="D80" t="s">
        <v>17</v>
      </c>
      <c r="E80" t="s">
        <v>28</v>
      </c>
      <c r="F80" t="s">
        <v>19</v>
      </c>
      <c r="G80" t="s">
        <v>39</v>
      </c>
      <c r="H80" t="s">
        <v>45</v>
      </c>
      <c r="I80">
        <v>17</v>
      </c>
      <c r="J80">
        <v>1362.33</v>
      </c>
      <c r="K80">
        <v>23159.61</v>
      </c>
      <c r="L80" t="s">
        <v>22</v>
      </c>
      <c r="M80" t="s">
        <v>22</v>
      </c>
      <c r="N80" s="1">
        <v>46203</v>
      </c>
      <c r="O80">
        <v>23159.61</v>
      </c>
    </row>
    <row r="81" spans="1:15" x14ac:dyDescent="0.3">
      <c r="A81" t="s">
        <v>122</v>
      </c>
      <c r="B81" s="1">
        <v>45691</v>
      </c>
      <c r="C81" t="s">
        <v>114</v>
      </c>
      <c r="D81" t="s">
        <v>24</v>
      </c>
      <c r="E81" t="s">
        <v>28</v>
      </c>
      <c r="F81" t="s">
        <v>19</v>
      </c>
      <c r="G81" t="s">
        <v>39</v>
      </c>
      <c r="H81" t="s">
        <v>40</v>
      </c>
      <c r="I81">
        <v>17</v>
      </c>
      <c r="J81">
        <v>902.38</v>
      </c>
      <c r="K81">
        <v>15340.46</v>
      </c>
      <c r="L81" t="s">
        <v>22</v>
      </c>
      <c r="M81" t="s">
        <v>22</v>
      </c>
      <c r="N81" s="1">
        <v>46203</v>
      </c>
      <c r="O81">
        <v>15340.46</v>
      </c>
    </row>
    <row r="82" spans="1:15" x14ac:dyDescent="0.3">
      <c r="A82" t="s">
        <v>123</v>
      </c>
      <c r="B82" s="1">
        <v>45691</v>
      </c>
      <c r="C82" t="s">
        <v>114</v>
      </c>
      <c r="D82" t="s">
        <v>24</v>
      </c>
      <c r="E82" t="s">
        <v>50</v>
      </c>
      <c r="F82" t="s">
        <v>33</v>
      </c>
      <c r="G82" t="s">
        <v>39</v>
      </c>
      <c r="H82" t="s">
        <v>34</v>
      </c>
      <c r="I82">
        <v>10</v>
      </c>
      <c r="J82">
        <v>847.19</v>
      </c>
      <c r="K82">
        <v>8471.9</v>
      </c>
      <c r="L82" t="s">
        <v>30</v>
      </c>
      <c r="M82" t="s">
        <v>80</v>
      </c>
      <c r="N82" s="1">
        <v>45984</v>
      </c>
      <c r="O82">
        <v>8471.9</v>
      </c>
    </row>
    <row r="83" spans="1:15" x14ac:dyDescent="0.3">
      <c r="A83" t="s">
        <v>124</v>
      </c>
      <c r="B83" s="1">
        <v>45691</v>
      </c>
      <c r="C83" t="s">
        <v>114</v>
      </c>
      <c r="D83" t="s">
        <v>17</v>
      </c>
      <c r="E83" t="s">
        <v>50</v>
      </c>
      <c r="F83" t="s">
        <v>38</v>
      </c>
      <c r="G83" t="s">
        <v>39</v>
      </c>
      <c r="H83" t="s">
        <v>21</v>
      </c>
      <c r="I83">
        <v>17</v>
      </c>
      <c r="J83">
        <v>1404.35</v>
      </c>
      <c r="K83">
        <v>23873.95</v>
      </c>
      <c r="L83" t="s">
        <v>22</v>
      </c>
      <c r="M83" t="s">
        <v>22</v>
      </c>
      <c r="N83" s="1">
        <v>46203</v>
      </c>
      <c r="O83">
        <v>23873.95</v>
      </c>
    </row>
    <row r="84" spans="1:15" x14ac:dyDescent="0.3">
      <c r="A84" t="s">
        <v>125</v>
      </c>
      <c r="B84" s="1">
        <v>45691</v>
      </c>
      <c r="C84" t="s">
        <v>114</v>
      </c>
      <c r="D84" t="s">
        <v>49</v>
      </c>
      <c r="E84" t="s">
        <v>28</v>
      </c>
      <c r="F84" t="s">
        <v>38</v>
      </c>
      <c r="G84" t="s">
        <v>39</v>
      </c>
      <c r="H84" t="s">
        <v>21</v>
      </c>
      <c r="I84">
        <v>17</v>
      </c>
      <c r="J84">
        <v>491.09</v>
      </c>
      <c r="K84">
        <v>8348.5300000000007</v>
      </c>
      <c r="L84" t="s">
        <v>22</v>
      </c>
      <c r="M84" t="s">
        <v>22</v>
      </c>
      <c r="N84" s="1">
        <v>46203</v>
      </c>
      <c r="O84">
        <v>8348.5300000000007</v>
      </c>
    </row>
    <row r="85" spans="1:15" x14ac:dyDescent="0.3">
      <c r="A85" t="s">
        <v>126</v>
      </c>
      <c r="B85" s="1">
        <v>45691</v>
      </c>
      <c r="C85" t="s">
        <v>114</v>
      </c>
      <c r="D85" t="s">
        <v>24</v>
      </c>
      <c r="E85" t="s">
        <v>25</v>
      </c>
      <c r="F85" t="s">
        <v>38</v>
      </c>
      <c r="G85" t="s">
        <v>20</v>
      </c>
      <c r="H85" t="s">
        <v>21</v>
      </c>
      <c r="I85">
        <v>17</v>
      </c>
      <c r="J85">
        <v>908.79</v>
      </c>
      <c r="K85">
        <v>15449.43</v>
      </c>
      <c r="L85" t="s">
        <v>22</v>
      </c>
      <c r="M85" t="s">
        <v>22</v>
      </c>
      <c r="N85" s="1">
        <v>46203</v>
      </c>
      <c r="O85">
        <v>15449.43</v>
      </c>
    </row>
    <row r="86" spans="1:15" x14ac:dyDescent="0.3">
      <c r="A86" t="s">
        <v>127</v>
      </c>
      <c r="B86" s="1">
        <v>45692</v>
      </c>
      <c r="C86" t="s">
        <v>114</v>
      </c>
      <c r="D86" t="s">
        <v>49</v>
      </c>
      <c r="E86" t="s">
        <v>28</v>
      </c>
      <c r="F86" t="s">
        <v>29</v>
      </c>
      <c r="G86" t="s">
        <v>39</v>
      </c>
      <c r="H86" t="s">
        <v>21</v>
      </c>
      <c r="I86">
        <v>17</v>
      </c>
      <c r="J86">
        <v>468.25</v>
      </c>
      <c r="K86">
        <v>7960.25</v>
      </c>
      <c r="L86" t="s">
        <v>22</v>
      </c>
      <c r="M86" t="s">
        <v>22</v>
      </c>
      <c r="N86" s="1">
        <v>46203</v>
      </c>
      <c r="O86">
        <v>7960.25</v>
      </c>
    </row>
    <row r="87" spans="1:15" x14ac:dyDescent="0.3">
      <c r="A87" t="s">
        <v>128</v>
      </c>
      <c r="B87" s="1">
        <v>45692</v>
      </c>
      <c r="C87" t="s">
        <v>114</v>
      </c>
      <c r="D87" t="s">
        <v>24</v>
      </c>
      <c r="E87" t="s">
        <v>50</v>
      </c>
      <c r="F87" t="s">
        <v>29</v>
      </c>
      <c r="G87" t="s">
        <v>39</v>
      </c>
      <c r="H87" t="s">
        <v>21</v>
      </c>
      <c r="I87">
        <v>17</v>
      </c>
      <c r="J87">
        <v>938.5</v>
      </c>
      <c r="K87">
        <v>15954.5</v>
      </c>
      <c r="L87" t="s">
        <v>22</v>
      </c>
      <c r="M87" t="s">
        <v>22</v>
      </c>
      <c r="N87" s="1">
        <v>46203</v>
      </c>
      <c r="O87">
        <v>15954.5</v>
      </c>
    </row>
    <row r="88" spans="1:15" x14ac:dyDescent="0.3">
      <c r="A88" t="s">
        <v>129</v>
      </c>
      <c r="B88" s="1">
        <v>45692</v>
      </c>
      <c r="C88" t="s">
        <v>114</v>
      </c>
      <c r="D88" t="s">
        <v>17</v>
      </c>
      <c r="E88" t="s">
        <v>18</v>
      </c>
      <c r="F88" t="s">
        <v>19</v>
      </c>
      <c r="G88" t="s">
        <v>20</v>
      </c>
      <c r="H88" t="s">
        <v>21</v>
      </c>
      <c r="I88">
        <v>17</v>
      </c>
      <c r="J88">
        <v>1437.63</v>
      </c>
      <c r="K88">
        <v>24439.71</v>
      </c>
      <c r="L88" t="s">
        <v>22</v>
      </c>
      <c r="M88" t="s">
        <v>22</v>
      </c>
      <c r="N88" s="1">
        <v>46203</v>
      </c>
      <c r="O88">
        <v>24439.71</v>
      </c>
    </row>
    <row r="89" spans="1:15" x14ac:dyDescent="0.3">
      <c r="A89" t="s">
        <v>130</v>
      </c>
      <c r="B89" s="1">
        <v>45692</v>
      </c>
      <c r="C89" t="s">
        <v>114</v>
      </c>
      <c r="D89" t="s">
        <v>17</v>
      </c>
      <c r="E89" t="s">
        <v>18</v>
      </c>
      <c r="F89" t="s">
        <v>29</v>
      </c>
      <c r="G89" t="s">
        <v>39</v>
      </c>
      <c r="H89" t="s">
        <v>40</v>
      </c>
      <c r="I89">
        <v>17</v>
      </c>
      <c r="J89">
        <v>1492.34</v>
      </c>
      <c r="K89">
        <v>25369.78</v>
      </c>
      <c r="L89" t="s">
        <v>22</v>
      </c>
      <c r="M89" t="s">
        <v>22</v>
      </c>
      <c r="N89" s="1">
        <v>46203</v>
      </c>
      <c r="O89">
        <v>25369.78</v>
      </c>
    </row>
    <row r="90" spans="1:15" x14ac:dyDescent="0.3">
      <c r="A90" t="s">
        <v>131</v>
      </c>
      <c r="B90" s="1">
        <v>45692</v>
      </c>
      <c r="C90" t="s">
        <v>114</v>
      </c>
      <c r="D90" t="s">
        <v>24</v>
      </c>
      <c r="E90" t="s">
        <v>25</v>
      </c>
      <c r="F90" t="s">
        <v>38</v>
      </c>
      <c r="G90" t="s">
        <v>39</v>
      </c>
      <c r="H90" t="s">
        <v>21</v>
      </c>
      <c r="I90">
        <v>17</v>
      </c>
      <c r="J90">
        <v>951.2</v>
      </c>
      <c r="K90">
        <v>16170.4</v>
      </c>
      <c r="L90" t="s">
        <v>22</v>
      </c>
      <c r="M90" t="s">
        <v>22</v>
      </c>
      <c r="N90" s="1">
        <v>46203</v>
      </c>
      <c r="O90">
        <v>16170.4</v>
      </c>
    </row>
    <row r="91" spans="1:15" x14ac:dyDescent="0.3">
      <c r="A91" t="s">
        <v>132</v>
      </c>
      <c r="B91" s="1">
        <v>45692</v>
      </c>
      <c r="C91" t="s">
        <v>114</v>
      </c>
      <c r="D91" t="s">
        <v>49</v>
      </c>
      <c r="E91" t="s">
        <v>18</v>
      </c>
      <c r="F91" t="s">
        <v>19</v>
      </c>
      <c r="G91" t="s">
        <v>39</v>
      </c>
      <c r="H91" t="s">
        <v>21</v>
      </c>
      <c r="I91">
        <v>17</v>
      </c>
      <c r="J91">
        <v>508.13</v>
      </c>
      <c r="K91">
        <v>8638.2099999999991</v>
      </c>
      <c r="L91" t="s">
        <v>22</v>
      </c>
      <c r="M91" t="s">
        <v>22</v>
      </c>
      <c r="N91" s="1">
        <v>46203</v>
      </c>
      <c r="O91">
        <v>8638.2099999999991</v>
      </c>
    </row>
    <row r="92" spans="1:15" x14ac:dyDescent="0.3">
      <c r="A92" t="s">
        <v>133</v>
      </c>
      <c r="B92" s="1">
        <v>45692</v>
      </c>
      <c r="C92" t="s">
        <v>114</v>
      </c>
      <c r="D92" t="s">
        <v>24</v>
      </c>
      <c r="E92" t="s">
        <v>25</v>
      </c>
      <c r="F92" t="s">
        <v>51</v>
      </c>
      <c r="G92" t="s">
        <v>39</v>
      </c>
      <c r="H92" t="s">
        <v>21</v>
      </c>
      <c r="I92">
        <v>17</v>
      </c>
      <c r="J92">
        <v>886.07</v>
      </c>
      <c r="K92">
        <v>15063.19</v>
      </c>
      <c r="L92" t="s">
        <v>22</v>
      </c>
      <c r="M92" t="s">
        <v>22</v>
      </c>
      <c r="N92" s="1">
        <v>46203</v>
      </c>
      <c r="O92">
        <v>15063.19</v>
      </c>
    </row>
    <row r="93" spans="1:15" x14ac:dyDescent="0.3">
      <c r="A93" t="s">
        <v>134</v>
      </c>
      <c r="B93" s="1">
        <v>45692</v>
      </c>
      <c r="C93" t="s">
        <v>114</v>
      </c>
      <c r="D93" t="s">
        <v>17</v>
      </c>
      <c r="E93" t="s">
        <v>25</v>
      </c>
      <c r="F93" t="s">
        <v>29</v>
      </c>
      <c r="G93" t="s">
        <v>20</v>
      </c>
      <c r="H93" t="s">
        <v>34</v>
      </c>
      <c r="I93">
        <v>1</v>
      </c>
      <c r="J93">
        <v>1585.27</v>
      </c>
      <c r="K93">
        <v>1585.27</v>
      </c>
      <c r="L93" t="s">
        <v>30</v>
      </c>
      <c r="M93" t="s">
        <v>80</v>
      </c>
      <c r="N93" s="1">
        <v>45733</v>
      </c>
      <c r="O93">
        <v>1585.27</v>
      </c>
    </row>
    <row r="94" spans="1:15" x14ac:dyDescent="0.3">
      <c r="A94" t="s">
        <v>135</v>
      </c>
      <c r="B94" s="1">
        <v>45692</v>
      </c>
      <c r="C94" t="s">
        <v>114</v>
      </c>
      <c r="D94" t="s">
        <v>24</v>
      </c>
      <c r="E94" t="s">
        <v>18</v>
      </c>
      <c r="F94" t="s">
        <v>51</v>
      </c>
      <c r="G94" t="s">
        <v>39</v>
      </c>
      <c r="H94" t="s">
        <v>40</v>
      </c>
      <c r="I94">
        <v>17</v>
      </c>
      <c r="J94">
        <v>987.06</v>
      </c>
      <c r="K94">
        <v>16780.02</v>
      </c>
      <c r="L94" t="s">
        <v>22</v>
      </c>
      <c r="M94" t="s">
        <v>22</v>
      </c>
      <c r="N94" s="1">
        <v>46203</v>
      </c>
      <c r="O94">
        <v>16780.02</v>
      </c>
    </row>
    <row r="95" spans="1:15" x14ac:dyDescent="0.3">
      <c r="A95" t="s">
        <v>136</v>
      </c>
      <c r="B95" s="1">
        <v>45693</v>
      </c>
      <c r="C95" t="s">
        <v>114</v>
      </c>
      <c r="D95" t="s">
        <v>49</v>
      </c>
      <c r="E95" t="s">
        <v>28</v>
      </c>
      <c r="F95" t="s">
        <v>51</v>
      </c>
      <c r="G95" t="s">
        <v>20</v>
      </c>
      <c r="H95" t="s">
        <v>40</v>
      </c>
      <c r="I95">
        <v>17</v>
      </c>
      <c r="J95">
        <v>548.58000000000004</v>
      </c>
      <c r="K95">
        <v>9325.86</v>
      </c>
      <c r="L95" t="s">
        <v>22</v>
      </c>
      <c r="M95" t="s">
        <v>22</v>
      </c>
      <c r="N95" s="1">
        <v>46203</v>
      </c>
      <c r="O95">
        <v>9325.86</v>
      </c>
    </row>
    <row r="96" spans="1:15" x14ac:dyDescent="0.3">
      <c r="A96" t="s">
        <v>137</v>
      </c>
      <c r="B96" s="1">
        <v>45693</v>
      </c>
      <c r="C96" t="s">
        <v>114</v>
      </c>
      <c r="D96" t="s">
        <v>49</v>
      </c>
      <c r="E96" t="s">
        <v>25</v>
      </c>
      <c r="F96" t="s">
        <v>29</v>
      </c>
      <c r="G96" t="s">
        <v>39</v>
      </c>
      <c r="H96" t="s">
        <v>40</v>
      </c>
      <c r="I96">
        <v>12</v>
      </c>
      <c r="J96">
        <v>505.85</v>
      </c>
      <c r="K96">
        <v>6070.2</v>
      </c>
      <c r="L96" t="s">
        <v>30</v>
      </c>
      <c r="M96" t="s">
        <v>36</v>
      </c>
      <c r="N96" s="1">
        <v>46057</v>
      </c>
      <c r="O96">
        <v>6070.2</v>
      </c>
    </row>
    <row r="97" spans="1:15" x14ac:dyDescent="0.3">
      <c r="A97" t="s">
        <v>138</v>
      </c>
      <c r="B97" s="1">
        <v>45694</v>
      </c>
      <c r="C97" t="s">
        <v>114</v>
      </c>
      <c r="D97" t="s">
        <v>24</v>
      </c>
      <c r="E97" t="s">
        <v>25</v>
      </c>
      <c r="F97" t="s">
        <v>29</v>
      </c>
      <c r="G97" t="s">
        <v>39</v>
      </c>
      <c r="H97" t="s">
        <v>21</v>
      </c>
      <c r="I97">
        <v>17</v>
      </c>
      <c r="J97">
        <v>852.52</v>
      </c>
      <c r="K97">
        <v>14492.84</v>
      </c>
      <c r="L97" t="s">
        <v>22</v>
      </c>
      <c r="M97" t="s">
        <v>22</v>
      </c>
      <c r="N97" s="1">
        <v>46203</v>
      </c>
      <c r="O97">
        <v>14492.84</v>
      </c>
    </row>
    <row r="98" spans="1:15" x14ac:dyDescent="0.3">
      <c r="A98" t="s">
        <v>139</v>
      </c>
      <c r="B98" s="1">
        <v>45694</v>
      </c>
      <c r="C98" t="s">
        <v>114</v>
      </c>
      <c r="D98" t="s">
        <v>17</v>
      </c>
      <c r="E98" t="s">
        <v>28</v>
      </c>
      <c r="F98" t="s">
        <v>33</v>
      </c>
      <c r="G98" t="s">
        <v>39</v>
      </c>
      <c r="H98" t="s">
        <v>40</v>
      </c>
      <c r="I98">
        <v>17</v>
      </c>
      <c r="J98">
        <v>1390.07</v>
      </c>
      <c r="K98">
        <v>23631.19</v>
      </c>
      <c r="L98" t="s">
        <v>22</v>
      </c>
      <c r="M98" t="s">
        <v>22</v>
      </c>
      <c r="N98" s="1">
        <v>46203</v>
      </c>
      <c r="O98">
        <v>23631.19</v>
      </c>
    </row>
    <row r="99" spans="1:15" x14ac:dyDescent="0.3">
      <c r="A99" t="s">
        <v>140</v>
      </c>
      <c r="B99" s="1">
        <v>45695</v>
      </c>
      <c r="C99" t="s">
        <v>114</v>
      </c>
      <c r="D99" t="s">
        <v>17</v>
      </c>
      <c r="E99" t="s">
        <v>50</v>
      </c>
      <c r="F99" t="s">
        <v>19</v>
      </c>
      <c r="G99" t="s">
        <v>39</v>
      </c>
      <c r="H99" t="s">
        <v>45</v>
      </c>
      <c r="I99">
        <v>17</v>
      </c>
      <c r="J99">
        <v>1496.96</v>
      </c>
      <c r="K99">
        <v>25448.32</v>
      </c>
      <c r="L99" t="s">
        <v>22</v>
      </c>
      <c r="M99" t="s">
        <v>22</v>
      </c>
      <c r="N99" s="1">
        <v>46203</v>
      </c>
      <c r="O99">
        <v>25448.32</v>
      </c>
    </row>
    <row r="100" spans="1:15" x14ac:dyDescent="0.3">
      <c r="A100" t="s">
        <v>141</v>
      </c>
      <c r="B100" s="1">
        <v>45695</v>
      </c>
      <c r="C100" t="s">
        <v>114</v>
      </c>
      <c r="D100" t="s">
        <v>49</v>
      </c>
      <c r="E100" t="s">
        <v>25</v>
      </c>
      <c r="F100" t="s">
        <v>29</v>
      </c>
      <c r="G100" t="s">
        <v>39</v>
      </c>
      <c r="H100" t="s">
        <v>34</v>
      </c>
      <c r="I100">
        <v>17</v>
      </c>
      <c r="J100">
        <v>534.54</v>
      </c>
      <c r="K100">
        <v>9087.18</v>
      </c>
      <c r="L100" t="s">
        <v>22</v>
      </c>
      <c r="M100" t="s">
        <v>22</v>
      </c>
      <c r="N100" s="1">
        <v>46203</v>
      </c>
      <c r="O100">
        <v>9087.18</v>
      </c>
    </row>
    <row r="101" spans="1:15" x14ac:dyDescent="0.3">
      <c r="A101" t="s">
        <v>142</v>
      </c>
      <c r="B101" s="1">
        <v>45696</v>
      </c>
      <c r="C101" t="s">
        <v>114</v>
      </c>
      <c r="D101" t="s">
        <v>49</v>
      </c>
      <c r="E101" t="s">
        <v>28</v>
      </c>
      <c r="F101" t="s">
        <v>19</v>
      </c>
      <c r="G101" t="s">
        <v>39</v>
      </c>
      <c r="H101" t="s">
        <v>21</v>
      </c>
      <c r="I101">
        <v>17</v>
      </c>
      <c r="J101">
        <v>454.95</v>
      </c>
      <c r="K101">
        <v>7734.15</v>
      </c>
      <c r="L101" t="s">
        <v>22</v>
      </c>
      <c r="M101" t="s">
        <v>22</v>
      </c>
      <c r="N101" s="1">
        <v>46203</v>
      </c>
      <c r="O101">
        <v>7734.15</v>
      </c>
    </row>
    <row r="102" spans="1:15" x14ac:dyDescent="0.3">
      <c r="A102" t="s">
        <v>143</v>
      </c>
      <c r="B102" s="1">
        <v>45696</v>
      </c>
      <c r="C102" t="s">
        <v>114</v>
      </c>
      <c r="D102" t="s">
        <v>49</v>
      </c>
      <c r="E102" t="s">
        <v>25</v>
      </c>
      <c r="F102" t="s">
        <v>19</v>
      </c>
      <c r="G102" t="s">
        <v>39</v>
      </c>
      <c r="H102" t="s">
        <v>21</v>
      </c>
      <c r="I102">
        <v>17</v>
      </c>
      <c r="J102">
        <v>510.5</v>
      </c>
      <c r="K102">
        <v>8678.5</v>
      </c>
      <c r="L102" t="s">
        <v>22</v>
      </c>
      <c r="M102" t="s">
        <v>22</v>
      </c>
      <c r="N102" s="1">
        <v>46203</v>
      </c>
      <c r="O102">
        <v>8678.5</v>
      </c>
    </row>
    <row r="103" spans="1:15" x14ac:dyDescent="0.3">
      <c r="A103" t="s">
        <v>144</v>
      </c>
      <c r="B103" s="1">
        <v>45696</v>
      </c>
      <c r="C103" t="s">
        <v>114</v>
      </c>
      <c r="D103" t="s">
        <v>17</v>
      </c>
      <c r="E103" t="s">
        <v>18</v>
      </c>
      <c r="F103" t="s">
        <v>19</v>
      </c>
      <c r="G103" t="s">
        <v>20</v>
      </c>
      <c r="H103" t="s">
        <v>21</v>
      </c>
      <c r="I103">
        <v>17</v>
      </c>
      <c r="J103">
        <v>1520.8</v>
      </c>
      <c r="K103">
        <v>25853.599999999999</v>
      </c>
      <c r="L103" t="s">
        <v>22</v>
      </c>
      <c r="M103" t="s">
        <v>22</v>
      </c>
      <c r="N103" s="1">
        <v>46203</v>
      </c>
      <c r="O103">
        <v>25853.599999999999</v>
      </c>
    </row>
    <row r="104" spans="1:15" x14ac:dyDescent="0.3">
      <c r="A104" t="s">
        <v>145</v>
      </c>
      <c r="B104" s="1">
        <v>45696</v>
      </c>
      <c r="C104" t="s">
        <v>114</v>
      </c>
      <c r="D104" t="s">
        <v>24</v>
      </c>
      <c r="E104" t="s">
        <v>28</v>
      </c>
      <c r="F104" t="s">
        <v>51</v>
      </c>
      <c r="G104" t="s">
        <v>39</v>
      </c>
      <c r="H104" t="s">
        <v>34</v>
      </c>
      <c r="I104">
        <v>17</v>
      </c>
      <c r="J104">
        <v>864.63</v>
      </c>
      <c r="K104">
        <v>14698.71</v>
      </c>
      <c r="L104" t="s">
        <v>22</v>
      </c>
      <c r="M104" t="s">
        <v>22</v>
      </c>
      <c r="N104" s="1">
        <v>46203</v>
      </c>
      <c r="O104">
        <v>14698.71</v>
      </c>
    </row>
    <row r="105" spans="1:15" x14ac:dyDescent="0.3">
      <c r="A105" t="s">
        <v>146</v>
      </c>
      <c r="B105" s="1">
        <v>45696</v>
      </c>
      <c r="C105" t="s">
        <v>114</v>
      </c>
      <c r="D105" t="s">
        <v>49</v>
      </c>
      <c r="E105" t="s">
        <v>18</v>
      </c>
      <c r="F105" t="s">
        <v>33</v>
      </c>
      <c r="G105" t="s">
        <v>20</v>
      </c>
      <c r="H105" t="s">
        <v>45</v>
      </c>
      <c r="I105">
        <v>17</v>
      </c>
      <c r="J105">
        <v>519.61</v>
      </c>
      <c r="K105">
        <v>8833.3700000000008</v>
      </c>
      <c r="L105" t="s">
        <v>22</v>
      </c>
      <c r="M105" t="s">
        <v>22</v>
      </c>
      <c r="N105" s="1">
        <v>46203</v>
      </c>
      <c r="O105">
        <v>8833.3700000000008</v>
      </c>
    </row>
    <row r="106" spans="1:15" x14ac:dyDescent="0.3">
      <c r="A106" t="s">
        <v>147</v>
      </c>
      <c r="B106" s="1">
        <v>45697</v>
      </c>
      <c r="C106" t="s">
        <v>114</v>
      </c>
      <c r="D106" t="s">
        <v>17</v>
      </c>
      <c r="E106" t="s">
        <v>25</v>
      </c>
      <c r="F106" t="s">
        <v>29</v>
      </c>
      <c r="G106" t="s">
        <v>20</v>
      </c>
      <c r="H106" t="s">
        <v>40</v>
      </c>
      <c r="I106">
        <v>17</v>
      </c>
      <c r="J106">
        <v>1575.43</v>
      </c>
      <c r="K106">
        <v>26782.31</v>
      </c>
      <c r="L106" t="s">
        <v>22</v>
      </c>
      <c r="M106" t="s">
        <v>22</v>
      </c>
      <c r="N106" s="1">
        <v>46203</v>
      </c>
      <c r="O106">
        <v>26782.31</v>
      </c>
    </row>
    <row r="107" spans="1:15" x14ac:dyDescent="0.3">
      <c r="A107" t="s">
        <v>148</v>
      </c>
      <c r="B107" s="1">
        <v>45697</v>
      </c>
      <c r="C107" t="s">
        <v>114</v>
      </c>
      <c r="D107" t="s">
        <v>49</v>
      </c>
      <c r="E107" t="s">
        <v>25</v>
      </c>
      <c r="F107" t="s">
        <v>38</v>
      </c>
      <c r="G107" t="s">
        <v>20</v>
      </c>
      <c r="H107" t="s">
        <v>45</v>
      </c>
      <c r="I107">
        <v>17</v>
      </c>
      <c r="J107">
        <v>515.55999999999995</v>
      </c>
      <c r="K107">
        <v>8764.52</v>
      </c>
      <c r="L107" t="s">
        <v>22</v>
      </c>
      <c r="M107" t="s">
        <v>22</v>
      </c>
      <c r="N107" s="1">
        <v>46203</v>
      </c>
      <c r="O107">
        <v>8764.52</v>
      </c>
    </row>
    <row r="108" spans="1:15" x14ac:dyDescent="0.3">
      <c r="A108" t="s">
        <v>149</v>
      </c>
      <c r="B108" s="1">
        <v>45697</v>
      </c>
      <c r="C108" t="s">
        <v>114</v>
      </c>
      <c r="D108" t="s">
        <v>24</v>
      </c>
      <c r="E108" t="s">
        <v>28</v>
      </c>
      <c r="F108" t="s">
        <v>19</v>
      </c>
      <c r="G108" t="s">
        <v>20</v>
      </c>
      <c r="H108" t="s">
        <v>21</v>
      </c>
      <c r="I108">
        <v>17</v>
      </c>
      <c r="J108">
        <v>961.12</v>
      </c>
      <c r="K108">
        <v>16339.04</v>
      </c>
      <c r="L108" t="s">
        <v>22</v>
      </c>
      <c r="M108" t="s">
        <v>22</v>
      </c>
      <c r="N108" s="1">
        <v>46203</v>
      </c>
      <c r="O108">
        <v>16339.04</v>
      </c>
    </row>
    <row r="109" spans="1:15" x14ac:dyDescent="0.3">
      <c r="A109" t="s">
        <v>150</v>
      </c>
      <c r="B109" s="1">
        <v>45698</v>
      </c>
      <c r="C109" t="s">
        <v>114</v>
      </c>
      <c r="D109" t="s">
        <v>24</v>
      </c>
      <c r="E109" t="s">
        <v>28</v>
      </c>
      <c r="F109" t="s">
        <v>33</v>
      </c>
      <c r="G109" t="s">
        <v>39</v>
      </c>
      <c r="H109" t="s">
        <v>21</v>
      </c>
      <c r="I109">
        <v>17</v>
      </c>
      <c r="J109">
        <v>961.68</v>
      </c>
      <c r="K109">
        <v>16348.56</v>
      </c>
      <c r="L109" t="s">
        <v>22</v>
      </c>
      <c r="M109" t="s">
        <v>22</v>
      </c>
      <c r="N109" s="1">
        <v>46203</v>
      </c>
      <c r="O109">
        <v>16348.56</v>
      </c>
    </row>
    <row r="110" spans="1:15" x14ac:dyDescent="0.3">
      <c r="A110" t="s">
        <v>151</v>
      </c>
      <c r="B110" s="1">
        <v>45699</v>
      </c>
      <c r="C110" t="s">
        <v>114</v>
      </c>
      <c r="D110" t="s">
        <v>49</v>
      </c>
      <c r="E110" t="s">
        <v>18</v>
      </c>
      <c r="F110" t="s">
        <v>38</v>
      </c>
      <c r="G110" t="s">
        <v>20</v>
      </c>
      <c r="H110" t="s">
        <v>21</v>
      </c>
      <c r="I110">
        <v>17</v>
      </c>
      <c r="J110">
        <v>494.56</v>
      </c>
      <c r="K110">
        <v>8407.52</v>
      </c>
      <c r="L110" t="s">
        <v>22</v>
      </c>
      <c r="M110" t="s">
        <v>22</v>
      </c>
      <c r="N110" s="1">
        <v>46203</v>
      </c>
      <c r="O110">
        <v>8407.52</v>
      </c>
    </row>
    <row r="111" spans="1:15" x14ac:dyDescent="0.3">
      <c r="A111" t="s">
        <v>152</v>
      </c>
      <c r="B111" s="1">
        <v>45699</v>
      </c>
      <c r="C111" t="s">
        <v>114</v>
      </c>
      <c r="D111" t="s">
        <v>49</v>
      </c>
      <c r="E111" t="s">
        <v>25</v>
      </c>
      <c r="F111" t="s">
        <v>51</v>
      </c>
      <c r="G111" t="s">
        <v>26</v>
      </c>
      <c r="H111" t="s">
        <v>40</v>
      </c>
      <c r="I111">
        <v>17</v>
      </c>
      <c r="J111">
        <v>455.96</v>
      </c>
      <c r="K111">
        <v>7751.32</v>
      </c>
      <c r="L111" t="s">
        <v>22</v>
      </c>
      <c r="M111" t="s">
        <v>22</v>
      </c>
      <c r="N111" s="1">
        <v>46203</v>
      </c>
      <c r="O111">
        <v>7751.32</v>
      </c>
    </row>
    <row r="112" spans="1:15" x14ac:dyDescent="0.3">
      <c r="A112" t="s">
        <v>153</v>
      </c>
      <c r="B112" s="1">
        <v>45699</v>
      </c>
      <c r="C112" t="s">
        <v>114</v>
      </c>
      <c r="D112" t="s">
        <v>24</v>
      </c>
      <c r="E112" t="s">
        <v>25</v>
      </c>
      <c r="F112" t="s">
        <v>38</v>
      </c>
      <c r="G112" t="s">
        <v>39</v>
      </c>
      <c r="H112" t="s">
        <v>21</v>
      </c>
      <c r="I112">
        <v>17</v>
      </c>
      <c r="J112">
        <v>984.11</v>
      </c>
      <c r="K112">
        <v>16729.87</v>
      </c>
      <c r="L112" t="s">
        <v>22</v>
      </c>
      <c r="M112" t="s">
        <v>22</v>
      </c>
      <c r="N112" s="1">
        <v>46203</v>
      </c>
      <c r="O112">
        <v>16729.87</v>
      </c>
    </row>
    <row r="113" spans="1:15" x14ac:dyDescent="0.3">
      <c r="A113" t="s">
        <v>154</v>
      </c>
      <c r="B113" s="1">
        <v>45700</v>
      </c>
      <c r="C113" t="s">
        <v>114</v>
      </c>
      <c r="D113" t="s">
        <v>24</v>
      </c>
      <c r="E113" t="s">
        <v>25</v>
      </c>
      <c r="F113" t="s">
        <v>33</v>
      </c>
      <c r="G113" t="s">
        <v>20</v>
      </c>
      <c r="H113" t="s">
        <v>21</v>
      </c>
      <c r="I113">
        <v>17</v>
      </c>
      <c r="J113">
        <v>860.26</v>
      </c>
      <c r="K113">
        <v>14624.42</v>
      </c>
      <c r="L113" t="s">
        <v>22</v>
      </c>
      <c r="M113" t="s">
        <v>22</v>
      </c>
      <c r="N113" s="1">
        <v>46203</v>
      </c>
      <c r="O113">
        <v>14624.42</v>
      </c>
    </row>
    <row r="114" spans="1:15" x14ac:dyDescent="0.3">
      <c r="A114" t="s">
        <v>155</v>
      </c>
      <c r="B114" s="1">
        <v>45700</v>
      </c>
      <c r="C114" t="s">
        <v>114</v>
      </c>
      <c r="D114" t="s">
        <v>49</v>
      </c>
      <c r="E114" t="s">
        <v>28</v>
      </c>
      <c r="F114" t="s">
        <v>29</v>
      </c>
      <c r="G114" t="s">
        <v>26</v>
      </c>
      <c r="H114" t="s">
        <v>34</v>
      </c>
      <c r="I114">
        <v>17</v>
      </c>
      <c r="J114">
        <v>516.27</v>
      </c>
      <c r="K114">
        <v>8776.59</v>
      </c>
      <c r="L114" t="s">
        <v>22</v>
      </c>
      <c r="M114" t="s">
        <v>22</v>
      </c>
      <c r="N114" s="1">
        <v>46203</v>
      </c>
      <c r="O114">
        <v>8776.59</v>
      </c>
    </row>
    <row r="115" spans="1:15" x14ac:dyDescent="0.3">
      <c r="A115" t="s">
        <v>156</v>
      </c>
      <c r="B115" s="1">
        <v>45700</v>
      </c>
      <c r="C115" t="s">
        <v>114</v>
      </c>
      <c r="D115" t="s">
        <v>17</v>
      </c>
      <c r="E115" t="s">
        <v>25</v>
      </c>
      <c r="F115" t="s">
        <v>38</v>
      </c>
      <c r="G115" t="s">
        <v>20</v>
      </c>
      <c r="H115" t="s">
        <v>40</v>
      </c>
      <c r="I115">
        <v>10</v>
      </c>
      <c r="J115">
        <v>1383.11</v>
      </c>
      <c r="K115">
        <v>13831.1</v>
      </c>
      <c r="L115" t="s">
        <v>30</v>
      </c>
      <c r="M115" t="s">
        <v>43</v>
      </c>
      <c r="N115" s="1">
        <v>46000</v>
      </c>
      <c r="O115">
        <v>13831.1</v>
      </c>
    </row>
    <row r="116" spans="1:15" x14ac:dyDescent="0.3">
      <c r="A116" t="s">
        <v>157</v>
      </c>
      <c r="B116" s="1">
        <v>45701</v>
      </c>
      <c r="C116" t="s">
        <v>114</v>
      </c>
      <c r="D116" t="s">
        <v>24</v>
      </c>
      <c r="E116" t="s">
        <v>18</v>
      </c>
      <c r="F116" t="s">
        <v>33</v>
      </c>
      <c r="G116" t="s">
        <v>39</v>
      </c>
      <c r="H116" t="s">
        <v>40</v>
      </c>
      <c r="I116">
        <v>16</v>
      </c>
      <c r="J116">
        <v>971.04</v>
      </c>
      <c r="K116">
        <v>15536.64</v>
      </c>
      <c r="L116" t="s">
        <v>30</v>
      </c>
      <c r="M116" t="s">
        <v>31</v>
      </c>
      <c r="N116" s="1">
        <v>46195</v>
      </c>
      <c r="O116">
        <v>15536.64</v>
      </c>
    </row>
    <row r="117" spans="1:15" x14ac:dyDescent="0.3">
      <c r="A117" t="s">
        <v>158</v>
      </c>
      <c r="B117" s="1">
        <v>45701</v>
      </c>
      <c r="C117" t="s">
        <v>114</v>
      </c>
      <c r="D117" t="s">
        <v>17</v>
      </c>
      <c r="E117" t="s">
        <v>18</v>
      </c>
      <c r="F117" t="s">
        <v>19</v>
      </c>
      <c r="G117" t="s">
        <v>39</v>
      </c>
      <c r="H117" t="s">
        <v>40</v>
      </c>
      <c r="I117">
        <v>16</v>
      </c>
      <c r="J117">
        <v>1552.67</v>
      </c>
      <c r="K117">
        <v>24842.720000000001</v>
      </c>
      <c r="L117" t="s">
        <v>22</v>
      </c>
      <c r="M117" t="s">
        <v>22</v>
      </c>
      <c r="N117" s="1">
        <v>46203</v>
      </c>
      <c r="O117">
        <v>24842.720000000001</v>
      </c>
    </row>
    <row r="118" spans="1:15" x14ac:dyDescent="0.3">
      <c r="A118" t="s">
        <v>159</v>
      </c>
      <c r="B118" s="1">
        <v>45701</v>
      </c>
      <c r="C118" t="s">
        <v>114</v>
      </c>
      <c r="D118" t="s">
        <v>24</v>
      </c>
      <c r="E118" t="s">
        <v>25</v>
      </c>
      <c r="F118" t="s">
        <v>19</v>
      </c>
      <c r="G118" t="s">
        <v>39</v>
      </c>
      <c r="H118" t="s">
        <v>21</v>
      </c>
      <c r="I118">
        <v>9</v>
      </c>
      <c r="J118">
        <v>835.34</v>
      </c>
      <c r="K118">
        <v>7518.06</v>
      </c>
      <c r="L118" t="s">
        <v>30</v>
      </c>
      <c r="M118" t="s">
        <v>36</v>
      </c>
      <c r="N118" s="1">
        <v>45987</v>
      </c>
      <c r="O118">
        <v>7518.06</v>
      </c>
    </row>
    <row r="119" spans="1:15" x14ac:dyDescent="0.3">
      <c r="A119" t="s">
        <v>160</v>
      </c>
      <c r="B119" s="1">
        <v>45701</v>
      </c>
      <c r="C119" t="s">
        <v>114</v>
      </c>
      <c r="D119" t="s">
        <v>24</v>
      </c>
      <c r="E119" t="s">
        <v>28</v>
      </c>
      <c r="F119" t="s">
        <v>29</v>
      </c>
      <c r="G119" t="s">
        <v>39</v>
      </c>
      <c r="H119" t="s">
        <v>21</v>
      </c>
      <c r="I119">
        <v>16</v>
      </c>
      <c r="J119">
        <v>836.63</v>
      </c>
      <c r="K119">
        <v>13386.08</v>
      </c>
      <c r="L119" t="s">
        <v>22</v>
      </c>
      <c r="M119" t="s">
        <v>22</v>
      </c>
      <c r="N119" s="1">
        <v>46203</v>
      </c>
      <c r="O119">
        <v>13386.08</v>
      </c>
    </row>
    <row r="120" spans="1:15" x14ac:dyDescent="0.3">
      <c r="A120" t="s">
        <v>161</v>
      </c>
      <c r="B120" s="1">
        <v>45701</v>
      </c>
      <c r="C120" t="s">
        <v>114</v>
      </c>
      <c r="D120" t="s">
        <v>24</v>
      </c>
      <c r="E120" t="s">
        <v>28</v>
      </c>
      <c r="F120" t="s">
        <v>19</v>
      </c>
      <c r="G120" t="s">
        <v>20</v>
      </c>
      <c r="H120" t="s">
        <v>21</v>
      </c>
      <c r="I120">
        <v>16</v>
      </c>
      <c r="J120">
        <v>902.61</v>
      </c>
      <c r="K120">
        <v>14441.76</v>
      </c>
      <c r="L120" t="s">
        <v>22</v>
      </c>
      <c r="M120" t="s">
        <v>22</v>
      </c>
      <c r="N120" s="1">
        <v>46203</v>
      </c>
      <c r="O120">
        <v>14441.76</v>
      </c>
    </row>
    <row r="121" spans="1:15" x14ac:dyDescent="0.3">
      <c r="A121" t="s">
        <v>162</v>
      </c>
      <c r="B121" s="1">
        <v>45701</v>
      </c>
      <c r="C121" t="s">
        <v>114</v>
      </c>
      <c r="D121" t="s">
        <v>49</v>
      </c>
      <c r="E121" t="s">
        <v>25</v>
      </c>
      <c r="F121" t="s">
        <v>19</v>
      </c>
      <c r="G121" t="s">
        <v>20</v>
      </c>
      <c r="H121" t="s">
        <v>34</v>
      </c>
      <c r="I121">
        <v>16</v>
      </c>
      <c r="J121">
        <v>514.61</v>
      </c>
      <c r="K121">
        <v>8233.76</v>
      </c>
      <c r="L121" t="s">
        <v>22</v>
      </c>
      <c r="M121" t="s">
        <v>22</v>
      </c>
      <c r="N121" s="1">
        <v>46203</v>
      </c>
      <c r="O121">
        <v>8233.76</v>
      </c>
    </row>
    <row r="122" spans="1:15" x14ac:dyDescent="0.3">
      <c r="A122" t="s">
        <v>163</v>
      </c>
      <c r="B122" s="1">
        <v>45701</v>
      </c>
      <c r="C122" t="s">
        <v>114</v>
      </c>
      <c r="D122" t="s">
        <v>24</v>
      </c>
      <c r="E122" t="s">
        <v>25</v>
      </c>
      <c r="F122" t="s">
        <v>19</v>
      </c>
      <c r="G122" t="s">
        <v>39</v>
      </c>
      <c r="H122" t="s">
        <v>21</v>
      </c>
      <c r="I122">
        <v>16</v>
      </c>
      <c r="J122">
        <v>913.51</v>
      </c>
      <c r="K122">
        <v>14616.16</v>
      </c>
      <c r="L122" t="s">
        <v>22</v>
      </c>
      <c r="M122" t="s">
        <v>22</v>
      </c>
      <c r="N122" s="1">
        <v>46203</v>
      </c>
      <c r="O122">
        <v>14616.16</v>
      </c>
    </row>
    <row r="123" spans="1:15" x14ac:dyDescent="0.3">
      <c r="A123" t="s">
        <v>164</v>
      </c>
      <c r="B123" s="1">
        <v>45702</v>
      </c>
      <c r="C123" t="s">
        <v>114</v>
      </c>
      <c r="D123" t="s">
        <v>24</v>
      </c>
      <c r="E123" t="s">
        <v>25</v>
      </c>
      <c r="F123" t="s">
        <v>29</v>
      </c>
      <c r="G123" t="s">
        <v>39</v>
      </c>
      <c r="H123" t="s">
        <v>45</v>
      </c>
      <c r="I123">
        <v>11</v>
      </c>
      <c r="J123">
        <v>879.14</v>
      </c>
      <c r="K123">
        <v>9670.5400000000009</v>
      </c>
      <c r="L123" t="s">
        <v>30</v>
      </c>
      <c r="M123" t="s">
        <v>43</v>
      </c>
      <c r="N123" s="1">
        <v>46032</v>
      </c>
      <c r="O123">
        <v>9670.5400000000009</v>
      </c>
    </row>
    <row r="124" spans="1:15" x14ac:dyDescent="0.3">
      <c r="A124" t="s">
        <v>165</v>
      </c>
      <c r="B124" s="1">
        <v>45702</v>
      </c>
      <c r="C124" t="s">
        <v>114</v>
      </c>
      <c r="D124" t="s">
        <v>49</v>
      </c>
      <c r="E124" t="s">
        <v>18</v>
      </c>
      <c r="F124" t="s">
        <v>38</v>
      </c>
      <c r="G124" t="s">
        <v>39</v>
      </c>
      <c r="H124" t="s">
        <v>34</v>
      </c>
      <c r="I124">
        <v>16</v>
      </c>
      <c r="J124">
        <v>526.66</v>
      </c>
      <c r="K124">
        <v>8426.56</v>
      </c>
      <c r="L124" t="s">
        <v>22</v>
      </c>
      <c r="M124" t="s">
        <v>22</v>
      </c>
      <c r="N124" s="1">
        <v>46203</v>
      </c>
      <c r="O124">
        <v>8426.56</v>
      </c>
    </row>
    <row r="125" spans="1:15" x14ac:dyDescent="0.3">
      <c r="A125" t="s">
        <v>166</v>
      </c>
      <c r="B125" s="1">
        <v>45702</v>
      </c>
      <c r="C125" t="s">
        <v>114</v>
      </c>
      <c r="D125" t="s">
        <v>24</v>
      </c>
      <c r="E125" t="s">
        <v>18</v>
      </c>
      <c r="F125" t="s">
        <v>33</v>
      </c>
      <c r="G125" t="s">
        <v>39</v>
      </c>
      <c r="H125" t="s">
        <v>21</v>
      </c>
      <c r="I125">
        <v>3</v>
      </c>
      <c r="J125">
        <v>824.68</v>
      </c>
      <c r="K125">
        <v>2474.04</v>
      </c>
      <c r="L125" t="s">
        <v>30</v>
      </c>
      <c r="M125" t="s">
        <v>41</v>
      </c>
      <c r="N125" s="1">
        <v>45790</v>
      </c>
      <c r="O125">
        <v>2474.04</v>
      </c>
    </row>
    <row r="126" spans="1:15" x14ac:dyDescent="0.3">
      <c r="A126" t="s">
        <v>167</v>
      </c>
      <c r="B126" s="1">
        <v>45702</v>
      </c>
      <c r="C126" t="s">
        <v>114</v>
      </c>
      <c r="D126" t="s">
        <v>24</v>
      </c>
      <c r="E126" t="s">
        <v>25</v>
      </c>
      <c r="F126" t="s">
        <v>29</v>
      </c>
      <c r="G126" t="s">
        <v>39</v>
      </c>
      <c r="H126" t="s">
        <v>34</v>
      </c>
      <c r="I126">
        <v>16</v>
      </c>
      <c r="J126">
        <v>816.66</v>
      </c>
      <c r="K126">
        <v>13066.56</v>
      </c>
      <c r="L126" t="s">
        <v>22</v>
      </c>
      <c r="M126" t="s">
        <v>22</v>
      </c>
      <c r="N126" s="1">
        <v>46203</v>
      </c>
      <c r="O126">
        <v>13066.56</v>
      </c>
    </row>
    <row r="127" spans="1:15" x14ac:dyDescent="0.3">
      <c r="A127" t="s">
        <v>168</v>
      </c>
      <c r="B127" s="1">
        <v>45703</v>
      </c>
      <c r="C127" t="s">
        <v>114</v>
      </c>
      <c r="D127" t="s">
        <v>17</v>
      </c>
      <c r="E127" t="s">
        <v>25</v>
      </c>
      <c r="F127" t="s">
        <v>29</v>
      </c>
      <c r="G127" t="s">
        <v>39</v>
      </c>
      <c r="H127" t="s">
        <v>40</v>
      </c>
      <c r="I127">
        <v>16</v>
      </c>
      <c r="J127">
        <v>1560.1</v>
      </c>
      <c r="K127">
        <v>24961.599999999999</v>
      </c>
      <c r="L127" t="s">
        <v>22</v>
      </c>
      <c r="M127" t="s">
        <v>22</v>
      </c>
      <c r="N127" s="1">
        <v>46203</v>
      </c>
      <c r="O127">
        <v>24961.599999999999</v>
      </c>
    </row>
    <row r="128" spans="1:15" x14ac:dyDescent="0.3">
      <c r="A128" t="s">
        <v>169</v>
      </c>
      <c r="B128" s="1">
        <v>45703</v>
      </c>
      <c r="C128" t="s">
        <v>114</v>
      </c>
      <c r="D128" t="s">
        <v>49</v>
      </c>
      <c r="E128" t="s">
        <v>25</v>
      </c>
      <c r="F128" t="s">
        <v>19</v>
      </c>
      <c r="G128" t="s">
        <v>39</v>
      </c>
      <c r="H128" t="s">
        <v>21</v>
      </c>
      <c r="I128">
        <v>16</v>
      </c>
      <c r="J128">
        <v>504.26</v>
      </c>
      <c r="K128">
        <v>8068.16</v>
      </c>
      <c r="L128" t="s">
        <v>22</v>
      </c>
      <c r="M128" t="s">
        <v>22</v>
      </c>
      <c r="N128" s="1">
        <v>46203</v>
      </c>
      <c r="O128">
        <v>8068.16</v>
      </c>
    </row>
    <row r="129" spans="1:15" x14ac:dyDescent="0.3">
      <c r="A129" t="s">
        <v>170</v>
      </c>
      <c r="B129" s="1">
        <v>45704</v>
      </c>
      <c r="C129" t="s">
        <v>114</v>
      </c>
      <c r="D129" t="s">
        <v>24</v>
      </c>
      <c r="E129" t="s">
        <v>25</v>
      </c>
      <c r="F129" t="s">
        <v>19</v>
      </c>
      <c r="G129" t="s">
        <v>26</v>
      </c>
      <c r="H129" t="s">
        <v>40</v>
      </c>
      <c r="I129">
        <v>16</v>
      </c>
      <c r="J129">
        <v>895.8</v>
      </c>
      <c r="K129">
        <v>14332.8</v>
      </c>
      <c r="L129" t="s">
        <v>22</v>
      </c>
      <c r="M129" t="s">
        <v>22</v>
      </c>
      <c r="N129" s="1">
        <v>46203</v>
      </c>
      <c r="O129">
        <v>14332.8</v>
      </c>
    </row>
    <row r="130" spans="1:15" x14ac:dyDescent="0.3">
      <c r="A130" t="s">
        <v>171</v>
      </c>
      <c r="B130" s="1">
        <v>45704</v>
      </c>
      <c r="C130" t="s">
        <v>114</v>
      </c>
      <c r="D130" t="s">
        <v>17</v>
      </c>
      <c r="E130" t="s">
        <v>25</v>
      </c>
      <c r="F130" t="s">
        <v>29</v>
      </c>
      <c r="G130" t="s">
        <v>39</v>
      </c>
      <c r="H130" t="s">
        <v>45</v>
      </c>
      <c r="I130">
        <v>16</v>
      </c>
      <c r="J130">
        <v>1622.48</v>
      </c>
      <c r="K130">
        <v>25959.68</v>
      </c>
      <c r="L130" t="s">
        <v>22</v>
      </c>
      <c r="M130" t="s">
        <v>22</v>
      </c>
      <c r="N130" s="1">
        <v>46203</v>
      </c>
      <c r="O130">
        <v>25959.68</v>
      </c>
    </row>
    <row r="131" spans="1:15" x14ac:dyDescent="0.3">
      <c r="A131" t="s">
        <v>172</v>
      </c>
      <c r="B131" s="1">
        <v>45704</v>
      </c>
      <c r="C131" t="s">
        <v>114</v>
      </c>
      <c r="D131" t="s">
        <v>24</v>
      </c>
      <c r="E131" t="s">
        <v>50</v>
      </c>
      <c r="F131" t="s">
        <v>29</v>
      </c>
      <c r="G131" t="s">
        <v>39</v>
      </c>
      <c r="H131" t="s">
        <v>21</v>
      </c>
      <c r="I131">
        <v>16</v>
      </c>
      <c r="J131">
        <v>843.76</v>
      </c>
      <c r="K131">
        <v>13500.16</v>
      </c>
      <c r="L131" t="s">
        <v>22</v>
      </c>
      <c r="M131" t="s">
        <v>22</v>
      </c>
      <c r="N131" s="1">
        <v>46203</v>
      </c>
      <c r="O131">
        <v>13500.16</v>
      </c>
    </row>
    <row r="132" spans="1:15" x14ac:dyDescent="0.3">
      <c r="A132" t="s">
        <v>173</v>
      </c>
      <c r="B132" s="1">
        <v>45704</v>
      </c>
      <c r="C132" t="s">
        <v>114</v>
      </c>
      <c r="D132" t="s">
        <v>24</v>
      </c>
      <c r="E132" t="s">
        <v>25</v>
      </c>
      <c r="F132" t="s">
        <v>19</v>
      </c>
      <c r="G132" t="s">
        <v>20</v>
      </c>
      <c r="H132" t="s">
        <v>40</v>
      </c>
      <c r="I132">
        <v>16</v>
      </c>
      <c r="J132">
        <v>946.36</v>
      </c>
      <c r="K132">
        <v>15141.76</v>
      </c>
      <c r="L132" t="s">
        <v>22</v>
      </c>
      <c r="M132" t="s">
        <v>22</v>
      </c>
      <c r="N132" s="1">
        <v>46203</v>
      </c>
      <c r="O132">
        <v>15141.76</v>
      </c>
    </row>
    <row r="133" spans="1:15" x14ac:dyDescent="0.3">
      <c r="A133" t="s">
        <v>174</v>
      </c>
      <c r="B133" s="1">
        <v>45705</v>
      </c>
      <c r="C133" t="s">
        <v>114</v>
      </c>
      <c r="D133" t="s">
        <v>24</v>
      </c>
      <c r="E133" t="s">
        <v>18</v>
      </c>
      <c r="F133" t="s">
        <v>38</v>
      </c>
      <c r="G133" t="s">
        <v>39</v>
      </c>
      <c r="H133" t="s">
        <v>21</v>
      </c>
      <c r="I133">
        <v>16</v>
      </c>
      <c r="J133">
        <v>964.22</v>
      </c>
      <c r="K133">
        <v>15427.52</v>
      </c>
      <c r="L133" t="s">
        <v>22</v>
      </c>
      <c r="M133" t="s">
        <v>22</v>
      </c>
      <c r="N133" s="1">
        <v>46203</v>
      </c>
      <c r="O133">
        <v>15427.52</v>
      </c>
    </row>
    <row r="134" spans="1:15" x14ac:dyDescent="0.3">
      <c r="A134" t="s">
        <v>175</v>
      </c>
      <c r="B134" s="1">
        <v>45705</v>
      </c>
      <c r="C134" t="s">
        <v>114</v>
      </c>
      <c r="D134" t="s">
        <v>49</v>
      </c>
      <c r="E134" t="s">
        <v>28</v>
      </c>
      <c r="F134" t="s">
        <v>38</v>
      </c>
      <c r="G134" t="s">
        <v>39</v>
      </c>
      <c r="H134" t="s">
        <v>45</v>
      </c>
      <c r="I134">
        <v>12</v>
      </c>
      <c r="J134">
        <v>471.62</v>
      </c>
      <c r="K134">
        <v>5659.44</v>
      </c>
      <c r="L134" t="s">
        <v>30</v>
      </c>
      <c r="M134" t="s">
        <v>36</v>
      </c>
      <c r="N134" s="1">
        <v>46060</v>
      </c>
      <c r="O134">
        <v>5659.44</v>
      </c>
    </row>
    <row r="135" spans="1:15" x14ac:dyDescent="0.3">
      <c r="A135" t="s">
        <v>176</v>
      </c>
      <c r="B135" s="1">
        <v>45705</v>
      </c>
      <c r="C135" t="s">
        <v>114</v>
      </c>
      <c r="D135" t="s">
        <v>49</v>
      </c>
      <c r="E135" t="s">
        <v>25</v>
      </c>
      <c r="F135" t="s">
        <v>51</v>
      </c>
      <c r="G135" t="s">
        <v>20</v>
      </c>
      <c r="H135" t="s">
        <v>21</v>
      </c>
      <c r="I135">
        <v>16</v>
      </c>
      <c r="J135">
        <v>463.79</v>
      </c>
      <c r="K135">
        <v>7420.64</v>
      </c>
      <c r="L135" t="s">
        <v>22</v>
      </c>
      <c r="M135" t="s">
        <v>22</v>
      </c>
      <c r="N135" s="1">
        <v>46203</v>
      </c>
      <c r="O135">
        <v>7420.64</v>
      </c>
    </row>
    <row r="136" spans="1:15" x14ac:dyDescent="0.3">
      <c r="A136" t="s">
        <v>177</v>
      </c>
      <c r="B136" s="1">
        <v>45705</v>
      </c>
      <c r="C136" t="s">
        <v>114</v>
      </c>
      <c r="D136" t="s">
        <v>24</v>
      </c>
      <c r="E136" t="s">
        <v>18</v>
      </c>
      <c r="F136" t="s">
        <v>38</v>
      </c>
      <c r="G136" t="s">
        <v>39</v>
      </c>
      <c r="H136" t="s">
        <v>21</v>
      </c>
      <c r="I136">
        <v>16</v>
      </c>
      <c r="J136">
        <v>853.93</v>
      </c>
      <c r="K136">
        <v>13662.88</v>
      </c>
      <c r="L136" t="s">
        <v>22</v>
      </c>
      <c r="M136" t="s">
        <v>22</v>
      </c>
      <c r="N136" s="1">
        <v>46203</v>
      </c>
      <c r="O136">
        <v>13662.88</v>
      </c>
    </row>
    <row r="137" spans="1:15" x14ac:dyDescent="0.3">
      <c r="A137" t="s">
        <v>178</v>
      </c>
      <c r="B137" s="1">
        <v>45706</v>
      </c>
      <c r="C137" t="s">
        <v>114</v>
      </c>
      <c r="D137" t="s">
        <v>24</v>
      </c>
      <c r="E137" t="s">
        <v>28</v>
      </c>
      <c r="F137" t="s">
        <v>38</v>
      </c>
      <c r="G137" t="s">
        <v>39</v>
      </c>
      <c r="H137" t="s">
        <v>21</v>
      </c>
      <c r="I137">
        <v>16</v>
      </c>
      <c r="J137">
        <v>893.36</v>
      </c>
      <c r="K137">
        <v>14293.76</v>
      </c>
      <c r="L137" t="s">
        <v>22</v>
      </c>
      <c r="M137" t="s">
        <v>22</v>
      </c>
      <c r="N137" s="1">
        <v>46203</v>
      </c>
      <c r="O137">
        <v>14293.76</v>
      </c>
    </row>
    <row r="138" spans="1:15" x14ac:dyDescent="0.3">
      <c r="A138" t="s">
        <v>179</v>
      </c>
      <c r="B138" s="1">
        <v>45706</v>
      </c>
      <c r="C138" t="s">
        <v>114</v>
      </c>
      <c r="D138" t="s">
        <v>49</v>
      </c>
      <c r="E138" t="s">
        <v>28</v>
      </c>
      <c r="F138" t="s">
        <v>38</v>
      </c>
      <c r="G138" t="s">
        <v>39</v>
      </c>
      <c r="H138" t="s">
        <v>40</v>
      </c>
      <c r="I138">
        <v>16</v>
      </c>
      <c r="J138">
        <v>463.84</v>
      </c>
      <c r="K138">
        <v>7421.44</v>
      </c>
      <c r="L138" t="s">
        <v>22</v>
      </c>
      <c r="M138" t="s">
        <v>22</v>
      </c>
      <c r="N138" s="1">
        <v>46203</v>
      </c>
      <c r="O138">
        <v>7421.44</v>
      </c>
    </row>
    <row r="139" spans="1:15" x14ac:dyDescent="0.3">
      <c r="A139" t="s">
        <v>180</v>
      </c>
      <c r="B139" s="1">
        <v>45706</v>
      </c>
      <c r="C139" t="s">
        <v>114</v>
      </c>
      <c r="D139" t="s">
        <v>49</v>
      </c>
      <c r="E139" t="s">
        <v>28</v>
      </c>
      <c r="F139" t="s">
        <v>19</v>
      </c>
      <c r="G139" t="s">
        <v>39</v>
      </c>
      <c r="H139" t="s">
        <v>21</v>
      </c>
      <c r="I139">
        <v>15</v>
      </c>
      <c r="J139">
        <v>518.82000000000005</v>
      </c>
      <c r="K139">
        <v>7782.3</v>
      </c>
      <c r="L139" t="s">
        <v>30</v>
      </c>
      <c r="M139" t="s">
        <v>31</v>
      </c>
      <c r="N139" s="1">
        <v>46168</v>
      </c>
      <c r="O139">
        <v>7782.3</v>
      </c>
    </row>
    <row r="140" spans="1:15" x14ac:dyDescent="0.3">
      <c r="A140" t="s">
        <v>181</v>
      </c>
      <c r="B140" s="1">
        <v>45706</v>
      </c>
      <c r="C140" t="s">
        <v>114</v>
      </c>
      <c r="D140" t="s">
        <v>17</v>
      </c>
      <c r="E140" t="s">
        <v>28</v>
      </c>
      <c r="F140" t="s">
        <v>19</v>
      </c>
      <c r="G140" t="s">
        <v>39</v>
      </c>
      <c r="H140" t="s">
        <v>45</v>
      </c>
      <c r="I140">
        <v>16</v>
      </c>
      <c r="J140">
        <v>1430.82</v>
      </c>
      <c r="K140">
        <v>22893.119999999999</v>
      </c>
      <c r="L140" t="s">
        <v>22</v>
      </c>
      <c r="M140" t="s">
        <v>22</v>
      </c>
      <c r="N140" s="1">
        <v>46203</v>
      </c>
      <c r="O140">
        <v>22893.119999999999</v>
      </c>
    </row>
    <row r="141" spans="1:15" x14ac:dyDescent="0.3">
      <c r="A141" t="s">
        <v>182</v>
      </c>
      <c r="B141" s="1">
        <v>45707</v>
      </c>
      <c r="C141" t="s">
        <v>114</v>
      </c>
      <c r="D141" t="s">
        <v>49</v>
      </c>
      <c r="E141" t="s">
        <v>28</v>
      </c>
      <c r="F141" t="s">
        <v>19</v>
      </c>
      <c r="G141" t="s">
        <v>39</v>
      </c>
      <c r="H141" t="s">
        <v>45</v>
      </c>
      <c r="I141">
        <v>16</v>
      </c>
      <c r="J141">
        <v>535.45000000000005</v>
      </c>
      <c r="K141">
        <v>8567.2000000000007</v>
      </c>
      <c r="L141" t="s">
        <v>22</v>
      </c>
      <c r="M141" t="s">
        <v>22</v>
      </c>
      <c r="N141" s="1">
        <v>46203</v>
      </c>
      <c r="O141">
        <v>8567.2000000000007</v>
      </c>
    </row>
    <row r="142" spans="1:15" x14ac:dyDescent="0.3">
      <c r="A142" t="s">
        <v>183</v>
      </c>
      <c r="B142" s="1">
        <v>45707</v>
      </c>
      <c r="C142" t="s">
        <v>114</v>
      </c>
      <c r="D142" t="s">
        <v>17</v>
      </c>
      <c r="E142" t="s">
        <v>50</v>
      </c>
      <c r="F142" t="s">
        <v>38</v>
      </c>
      <c r="G142" t="s">
        <v>39</v>
      </c>
      <c r="H142" t="s">
        <v>40</v>
      </c>
      <c r="I142">
        <v>1</v>
      </c>
      <c r="J142">
        <v>1599.48</v>
      </c>
      <c r="K142">
        <v>1599.48</v>
      </c>
      <c r="L142" t="s">
        <v>30</v>
      </c>
      <c r="M142" t="s">
        <v>43</v>
      </c>
      <c r="N142" s="1">
        <v>45741</v>
      </c>
      <c r="O142">
        <v>1599.48</v>
      </c>
    </row>
    <row r="143" spans="1:15" x14ac:dyDescent="0.3">
      <c r="A143" t="s">
        <v>184</v>
      </c>
      <c r="B143" s="1">
        <v>45708</v>
      </c>
      <c r="C143" t="s">
        <v>114</v>
      </c>
      <c r="D143" t="s">
        <v>49</v>
      </c>
      <c r="E143" t="s">
        <v>25</v>
      </c>
      <c r="F143" t="s">
        <v>29</v>
      </c>
      <c r="G143" t="s">
        <v>39</v>
      </c>
      <c r="H143" t="s">
        <v>21</v>
      </c>
      <c r="I143">
        <v>15</v>
      </c>
      <c r="J143">
        <v>493.48</v>
      </c>
      <c r="K143">
        <v>7402.2</v>
      </c>
      <c r="L143" t="s">
        <v>30</v>
      </c>
      <c r="M143" t="s">
        <v>80</v>
      </c>
      <c r="N143" s="1">
        <v>46162</v>
      </c>
      <c r="O143">
        <v>7402.2</v>
      </c>
    </row>
    <row r="144" spans="1:15" x14ac:dyDescent="0.3">
      <c r="A144" t="s">
        <v>185</v>
      </c>
      <c r="B144" s="1">
        <v>45708</v>
      </c>
      <c r="C144" t="s">
        <v>114</v>
      </c>
      <c r="D144" t="s">
        <v>49</v>
      </c>
      <c r="E144" t="s">
        <v>50</v>
      </c>
      <c r="F144" t="s">
        <v>29</v>
      </c>
      <c r="G144" t="s">
        <v>39</v>
      </c>
      <c r="H144" t="s">
        <v>21</v>
      </c>
      <c r="I144">
        <v>16</v>
      </c>
      <c r="J144">
        <v>501.78</v>
      </c>
      <c r="K144">
        <v>8028.48</v>
      </c>
      <c r="L144" t="s">
        <v>22</v>
      </c>
      <c r="M144" t="s">
        <v>22</v>
      </c>
      <c r="N144" s="1">
        <v>46203</v>
      </c>
      <c r="O144">
        <v>8028.48</v>
      </c>
    </row>
    <row r="145" spans="1:15" x14ac:dyDescent="0.3">
      <c r="A145" t="s">
        <v>186</v>
      </c>
      <c r="B145" s="1">
        <v>45709</v>
      </c>
      <c r="C145" t="s">
        <v>114</v>
      </c>
      <c r="D145" t="s">
        <v>49</v>
      </c>
      <c r="E145" t="s">
        <v>18</v>
      </c>
      <c r="F145" t="s">
        <v>29</v>
      </c>
      <c r="G145" t="s">
        <v>39</v>
      </c>
      <c r="H145" t="s">
        <v>34</v>
      </c>
      <c r="I145">
        <v>16</v>
      </c>
      <c r="J145">
        <v>521.64</v>
      </c>
      <c r="K145">
        <v>8346.24</v>
      </c>
      <c r="L145" t="s">
        <v>22</v>
      </c>
      <c r="M145" t="s">
        <v>22</v>
      </c>
      <c r="N145" s="1">
        <v>46203</v>
      </c>
      <c r="O145">
        <v>8346.24</v>
      </c>
    </row>
    <row r="146" spans="1:15" x14ac:dyDescent="0.3">
      <c r="A146" t="s">
        <v>187</v>
      </c>
      <c r="B146" s="1">
        <v>45709</v>
      </c>
      <c r="C146" t="s">
        <v>114</v>
      </c>
      <c r="D146" t="s">
        <v>24</v>
      </c>
      <c r="E146" t="s">
        <v>28</v>
      </c>
      <c r="F146" t="s">
        <v>51</v>
      </c>
      <c r="G146" t="s">
        <v>39</v>
      </c>
      <c r="H146" t="s">
        <v>21</v>
      </c>
      <c r="I146">
        <v>2</v>
      </c>
      <c r="J146">
        <v>837.08</v>
      </c>
      <c r="K146">
        <v>1674.16</v>
      </c>
      <c r="L146" t="s">
        <v>30</v>
      </c>
      <c r="M146" t="s">
        <v>43</v>
      </c>
      <c r="N146" s="1">
        <v>45758</v>
      </c>
      <c r="O146">
        <v>1674.16</v>
      </c>
    </row>
    <row r="147" spans="1:15" x14ac:dyDescent="0.3">
      <c r="A147" t="s">
        <v>188</v>
      </c>
      <c r="B147" s="1">
        <v>45709</v>
      </c>
      <c r="C147" t="s">
        <v>114</v>
      </c>
      <c r="D147" t="s">
        <v>17</v>
      </c>
      <c r="E147" t="s">
        <v>50</v>
      </c>
      <c r="F147" t="s">
        <v>38</v>
      </c>
      <c r="G147" t="s">
        <v>26</v>
      </c>
      <c r="H147" t="s">
        <v>34</v>
      </c>
      <c r="I147">
        <v>16</v>
      </c>
      <c r="J147">
        <v>1506.61</v>
      </c>
      <c r="K147">
        <v>24105.759999999998</v>
      </c>
      <c r="L147" t="s">
        <v>22</v>
      </c>
      <c r="M147" t="s">
        <v>22</v>
      </c>
      <c r="N147" s="1">
        <v>46203</v>
      </c>
      <c r="O147">
        <v>24105.759999999998</v>
      </c>
    </row>
    <row r="148" spans="1:15" x14ac:dyDescent="0.3">
      <c r="A148" t="s">
        <v>189</v>
      </c>
      <c r="B148" s="1">
        <v>45709</v>
      </c>
      <c r="C148" t="s">
        <v>114</v>
      </c>
      <c r="D148" t="s">
        <v>17</v>
      </c>
      <c r="E148" t="s">
        <v>25</v>
      </c>
      <c r="F148" t="s">
        <v>29</v>
      </c>
      <c r="G148" t="s">
        <v>39</v>
      </c>
      <c r="H148" t="s">
        <v>40</v>
      </c>
      <c r="I148">
        <v>16</v>
      </c>
      <c r="J148">
        <v>1349.22</v>
      </c>
      <c r="K148">
        <v>21587.52</v>
      </c>
      <c r="L148" t="s">
        <v>22</v>
      </c>
      <c r="M148" t="s">
        <v>22</v>
      </c>
      <c r="N148" s="1">
        <v>46203</v>
      </c>
      <c r="O148">
        <v>21587.52</v>
      </c>
    </row>
    <row r="149" spans="1:15" x14ac:dyDescent="0.3">
      <c r="A149" t="s">
        <v>190</v>
      </c>
      <c r="B149" s="1">
        <v>45709</v>
      </c>
      <c r="C149" t="s">
        <v>114</v>
      </c>
      <c r="D149" t="s">
        <v>49</v>
      </c>
      <c r="E149" t="s">
        <v>28</v>
      </c>
      <c r="F149" t="s">
        <v>38</v>
      </c>
      <c r="G149" t="s">
        <v>39</v>
      </c>
      <c r="H149" t="s">
        <v>40</v>
      </c>
      <c r="I149">
        <v>16</v>
      </c>
      <c r="J149">
        <v>532.5</v>
      </c>
      <c r="K149">
        <v>8520</v>
      </c>
      <c r="L149" t="s">
        <v>22</v>
      </c>
      <c r="M149" t="s">
        <v>22</v>
      </c>
      <c r="N149" s="1">
        <v>46203</v>
      </c>
      <c r="O149">
        <v>8520</v>
      </c>
    </row>
    <row r="150" spans="1:15" x14ac:dyDescent="0.3">
      <c r="A150" t="s">
        <v>191</v>
      </c>
      <c r="B150" s="1">
        <v>45709</v>
      </c>
      <c r="C150" t="s">
        <v>114</v>
      </c>
      <c r="D150" t="s">
        <v>24</v>
      </c>
      <c r="E150" t="s">
        <v>18</v>
      </c>
      <c r="F150" t="s">
        <v>51</v>
      </c>
      <c r="G150" t="s">
        <v>20</v>
      </c>
      <c r="H150" t="s">
        <v>45</v>
      </c>
      <c r="I150">
        <v>16</v>
      </c>
      <c r="J150">
        <v>815.81</v>
      </c>
      <c r="K150">
        <v>13052.96</v>
      </c>
      <c r="L150" t="s">
        <v>22</v>
      </c>
      <c r="M150" t="s">
        <v>22</v>
      </c>
      <c r="N150" s="1">
        <v>46203</v>
      </c>
      <c r="O150">
        <v>13052.96</v>
      </c>
    </row>
    <row r="151" spans="1:15" x14ac:dyDescent="0.3">
      <c r="A151" t="s">
        <v>192</v>
      </c>
      <c r="B151" s="1">
        <v>45709</v>
      </c>
      <c r="C151" t="s">
        <v>114</v>
      </c>
      <c r="D151" t="s">
        <v>49</v>
      </c>
      <c r="E151" t="s">
        <v>25</v>
      </c>
      <c r="F151" t="s">
        <v>33</v>
      </c>
      <c r="G151" t="s">
        <v>39</v>
      </c>
      <c r="H151" t="s">
        <v>21</v>
      </c>
      <c r="I151">
        <v>16</v>
      </c>
      <c r="J151">
        <v>520.91</v>
      </c>
      <c r="K151">
        <v>8334.56</v>
      </c>
      <c r="L151" t="s">
        <v>22</v>
      </c>
      <c r="M151" t="s">
        <v>22</v>
      </c>
      <c r="N151" s="1">
        <v>46203</v>
      </c>
      <c r="O151">
        <v>8334.56</v>
      </c>
    </row>
    <row r="152" spans="1:15" x14ac:dyDescent="0.3">
      <c r="A152" t="s">
        <v>193</v>
      </c>
      <c r="B152" s="1">
        <v>45709</v>
      </c>
      <c r="C152" t="s">
        <v>114</v>
      </c>
      <c r="D152" t="s">
        <v>24</v>
      </c>
      <c r="E152" t="s">
        <v>25</v>
      </c>
      <c r="F152" t="s">
        <v>51</v>
      </c>
      <c r="G152" t="s">
        <v>39</v>
      </c>
      <c r="H152" t="s">
        <v>21</v>
      </c>
      <c r="I152">
        <v>16</v>
      </c>
      <c r="J152">
        <v>894.5</v>
      </c>
      <c r="K152">
        <v>14312</v>
      </c>
      <c r="L152" t="s">
        <v>22</v>
      </c>
      <c r="M152" t="s">
        <v>22</v>
      </c>
      <c r="N152" s="1">
        <v>46203</v>
      </c>
      <c r="O152">
        <v>14312</v>
      </c>
    </row>
    <row r="153" spans="1:15" x14ac:dyDescent="0.3">
      <c r="A153" t="s">
        <v>194</v>
      </c>
      <c r="B153" s="1">
        <v>45710</v>
      </c>
      <c r="C153" t="s">
        <v>114</v>
      </c>
      <c r="D153" t="s">
        <v>24</v>
      </c>
      <c r="E153" t="s">
        <v>25</v>
      </c>
      <c r="F153" t="s">
        <v>29</v>
      </c>
      <c r="G153" t="s">
        <v>39</v>
      </c>
      <c r="H153" t="s">
        <v>21</v>
      </c>
      <c r="I153">
        <v>16</v>
      </c>
      <c r="J153">
        <v>949.86</v>
      </c>
      <c r="K153">
        <v>15197.76</v>
      </c>
      <c r="L153" t="s">
        <v>22</v>
      </c>
      <c r="M153" t="s">
        <v>22</v>
      </c>
      <c r="N153" s="1">
        <v>46203</v>
      </c>
      <c r="O153">
        <v>15197.76</v>
      </c>
    </row>
    <row r="154" spans="1:15" x14ac:dyDescent="0.3">
      <c r="A154" t="s">
        <v>195</v>
      </c>
      <c r="B154" s="1">
        <v>45710</v>
      </c>
      <c r="C154" t="s">
        <v>114</v>
      </c>
      <c r="D154" t="s">
        <v>49</v>
      </c>
      <c r="E154" t="s">
        <v>25</v>
      </c>
      <c r="F154" t="s">
        <v>33</v>
      </c>
      <c r="G154" t="s">
        <v>20</v>
      </c>
      <c r="H154" t="s">
        <v>21</v>
      </c>
      <c r="I154">
        <v>16</v>
      </c>
      <c r="J154">
        <v>511.33</v>
      </c>
      <c r="K154">
        <v>8181.28</v>
      </c>
      <c r="L154" t="s">
        <v>22</v>
      </c>
      <c r="M154" t="s">
        <v>22</v>
      </c>
      <c r="N154" s="1">
        <v>46203</v>
      </c>
      <c r="O154">
        <v>8181.28</v>
      </c>
    </row>
    <row r="155" spans="1:15" x14ac:dyDescent="0.3">
      <c r="A155" t="s">
        <v>196</v>
      </c>
      <c r="B155" s="1">
        <v>45710</v>
      </c>
      <c r="C155" t="s">
        <v>114</v>
      </c>
      <c r="D155" t="s">
        <v>17</v>
      </c>
      <c r="E155" t="s">
        <v>25</v>
      </c>
      <c r="F155" t="s">
        <v>29</v>
      </c>
      <c r="G155" t="s">
        <v>39</v>
      </c>
      <c r="H155" t="s">
        <v>21</v>
      </c>
      <c r="I155">
        <v>16</v>
      </c>
      <c r="J155">
        <v>1489.85</v>
      </c>
      <c r="K155">
        <v>23837.599999999999</v>
      </c>
      <c r="L155" t="s">
        <v>22</v>
      </c>
      <c r="M155" t="s">
        <v>22</v>
      </c>
      <c r="N155" s="1">
        <v>46203</v>
      </c>
      <c r="O155">
        <v>23837.599999999999</v>
      </c>
    </row>
    <row r="156" spans="1:15" x14ac:dyDescent="0.3">
      <c r="A156" t="s">
        <v>197</v>
      </c>
      <c r="B156" s="1">
        <v>45710</v>
      </c>
      <c r="C156" t="s">
        <v>114</v>
      </c>
      <c r="D156" t="s">
        <v>24</v>
      </c>
      <c r="E156" t="s">
        <v>25</v>
      </c>
      <c r="F156" t="s">
        <v>38</v>
      </c>
      <c r="G156" t="s">
        <v>20</v>
      </c>
      <c r="H156" t="s">
        <v>21</v>
      </c>
      <c r="I156">
        <v>16</v>
      </c>
      <c r="J156">
        <v>830.1</v>
      </c>
      <c r="K156">
        <v>13281.6</v>
      </c>
      <c r="L156" t="s">
        <v>22</v>
      </c>
      <c r="M156" t="s">
        <v>22</v>
      </c>
      <c r="N156" s="1">
        <v>46203</v>
      </c>
      <c r="O156">
        <v>13281.6</v>
      </c>
    </row>
    <row r="157" spans="1:15" x14ac:dyDescent="0.3">
      <c r="A157" t="s">
        <v>198</v>
      </c>
      <c r="B157" s="1">
        <v>45710</v>
      </c>
      <c r="C157" t="s">
        <v>114</v>
      </c>
      <c r="D157" t="s">
        <v>49</v>
      </c>
      <c r="E157" t="s">
        <v>28</v>
      </c>
      <c r="F157" t="s">
        <v>38</v>
      </c>
      <c r="G157" t="s">
        <v>39</v>
      </c>
      <c r="H157" t="s">
        <v>40</v>
      </c>
      <c r="I157">
        <v>10</v>
      </c>
      <c r="J157">
        <v>509.93</v>
      </c>
      <c r="K157">
        <v>5099.3</v>
      </c>
      <c r="L157" t="s">
        <v>30</v>
      </c>
      <c r="M157" t="s">
        <v>41</v>
      </c>
      <c r="N157" s="1">
        <v>46018</v>
      </c>
      <c r="O157">
        <v>5099.3</v>
      </c>
    </row>
    <row r="158" spans="1:15" x14ac:dyDescent="0.3">
      <c r="A158" t="s">
        <v>199</v>
      </c>
      <c r="B158" s="1">
        <v>45711</v>
      </c>
      <c r="C158" t="s">
        <v>114</v>
      </c>
      <c r="D158" t="s">
        <v>24</v>
      </c>
      <c r="E158" t="s">
        <v>25</v>
      </c>
      <c r="F158" t="s">
        <v>19</v>
      </c>
      <c r="G158" t="s">
        <v>39</v>
      </c>
      <c r="H158" t="s">
        <v>34</v>
      </c>
      <c r="I158">
        <v>16</v>
      </c>
      <c r="J158">
        <v>829.78</v>
      </c>
      <c r="K158">
        <v>13276.48</v>
      </c>
      <c r="L158" t="s">
        <v>22</v>
      </c>
      <c r="M158" t="s">
        <v>22</v>
      </c>
      <c r="N158" s="1">
        <v>46203</v>
      </c>
      <c r="O158">
        <v>13276.48</v>
      </c>
    </row>
    <row r="159" spans="1:15" x14ac:dyDescent="0.3">
      <c r="A159" t="s">
        <v>200</v>
      </c>
      <c r="B159" s="1">
        <v>45711</v>
      </c>
      <c r="C159" t="s">
        <v>114</v>
      </c>
      <c r="D159" t="s">
        <v>24</v>
      </c>
      <c r="E159" t="s">
        <v>25</v>
      </c>
      <c r="F159" t="s">
        <v>38</v>
      </c>
      <c r="G159" t="s">
        <v>39</v>
      </c>
      <c r="H159" t="s">
        <v>34</v>
      </c>
      <c r="I159">
        <v>16</v>
      </c>
      <c r="J159">
        <v>969.71</v>
      </c>
      <c r="K159">
        <v>15515.36</v>
      </c>
      <c r="L159" t="s">
        <v>22</v>
      </c>
      <c r="M159" t="s">
        <v>22</v>
      </c>
      <c r="N159" s="1">
        <v>46203</v>
      </c>
      <c r="O159">
        <v>15515.36</v>
      </c>
    </row>
    <row r="160" spans="1:15" x14ac:dyDescent="0.3">
      <c r="A160" t="s">
        <v>201</v>
      </c>
      <c r="B160" s="1">
        <v>45711</v>
      </c>
      <c r="C160" t="s">
        <v>114</v>
      </c>
      <c r="D160" t="s">
        <v>49</v>
      </c>
      <c r="E160" t="s">
        <v>18</v>
      </c>
      <c r="F160" t="s">
        <v>19</v>
      </c>
      <c r="G160" t="s">
        <v>39</v>
      </c>
      <c r="H160" t="s">
        <v>21</v>
      </c>
      <c r="I160">
        <v>16</v>
      </c>
      <c r="J160">
        <v>469.53</v>
      </c>
      <c r="K160">
        <v>7512.48</v>
      </c>
      <c r="L160" t="s">
        <v>22</v>
      </c>
      <c r="M160" t="s">
        <v>22</v>
      </c>
      <c r="N160" s="1">
        <v>46203</v>
      </c>
      <c r="O160">
        <v>7512.48</v>
      </c>
    </row>
    <row r="161" spans="1:15" x14ac:dyDescent="0.3">
      <c r="A161" t="s">
        <v>202</v>
      </c>
      <c r="B161" s="1">
        <v>45712</v>
      </c>
      <c r="C161" t="s">
        <v>114</v>
      </c>
      <c r="D161" t="s">
        <v>24</v>
      </c>
      <c r="E161" t="s">
        <v>28</v>
      </c>
      <c r="F161" t="s">
        <v>33</v>
      </c>
      <c r="G161" t="s">
        <v>26</v>
      </c>
      <c r="H161" t="s">
        <v>34</v>
      </c>
      <c r="I161">
        <v>16</v>
      </c>
      <c r="J161">
        <v>907.28</v>
      </c>
      <c r="K161">
        <v>14516.48</v>
      </c>
      <c r="L161" t="s">
        <v>22</v>
      </c>
      <c r="M161" t="s">
        <v>22</v>
      </c>
      <c r="N161" s="1">
        <v>46203</v>
      </c>
      <c r="O161">
        <v>14516.48</v>
      </c>
    </row>
    <row r="162" spans="1:15" x14ac:dyDescent="0.3">
      <c r="A162" t="s">
        <v>203</v>
      </c>
      <c r="B162" s="1">
        <v>45712</v>
      </c>
      <c r="C162" t="s">
        <v>114</v>
      </c>
      <c r="D162" t="s">
        <v>24</v>
      </c>
      <c r="E162" t="s">
        <v>18</v>
      </c>
      <c r="F162" t="s">
        <v>29</v>
      </c>
      <c r="G162" t="s">
        <v>39</v>
      </c>
      <c r="H162" t="s">
        <v>21</v>
      </c>
      <c r="I162">
        <v>16</v>
      </c>
      <c r="J162">
        <v>865.59</v>
      </c>
      <c r="K162">
        <v>13849.44</v>
      </c>
      <c r="L162" t="s">
        <v>22</v>
      </c>
      <c r="M162" t="s">
        <v>22</v>
      </c>
      <c r="N162" s="1">
        <v>46203</v>
      </c>
      <c r="O162">
        <v>13849.44</v>
      </c>
    </row>
    <row r="163" spans="1:15" x14ac:dyDescent="0.3">
      <c r="A163" t="s">
        <v>204</v>
      </c>
      <c r="B163" s="1">
        <v>45713</v>
      </c>
      <c r="C163" t="s">
        <v>114</v>
      </c>
      <c r="D163" t="s">
        <v>24</v>
      </c>
      <c r="E163" t="s">
        <v>25</v>
      </c>
      <c r="F163" t="s">
        <v>19</v>
      </c>
      <c r="G163" t="s">
        <v>20</v>
      </c>
      <c r="H163" t="s">
        <v>40</v>
      </c>
      <c r="I163">
        <v>16</v>
      </c>
      <c r="J163">
        <v>913.64</v>
      </c>
      <c r="K163">
        <v>14618.24</v>
      </c>
      <c r="L163" t="s">
        <v>22</v>
      </c>
      <c r="M163" t="s">
        <v>22</v>
      </c>
      <c r="N163" s="1">
        <v>46203</v>
      </c>
      <c r="O163">
        <v>14618.24</v>
      </c>
    </row>
    <row r="164" spans="1:15" x14ac:dyDescent="0.3">
      <c r="A164" t="s">
        <v>205</v>
      </c>
      <c r="B164" s="1">
        <v>45713</v>
      </c>
      <c r="C164" t="s">
        <v>114</v>
      </c>
      <c r="D164" t="s">
        <v>24</v>
      </c>
      <c r="E164" t="s">
        <v>28</v>
      </c>
      <c r="F164" t="s">
        <v>33</v>
      </c>
      <c r="G164" t="s">
        <v>39</v>
      </c>
      <c r="H164" t="s">
        <v>45</v>
      </c>
      <c r="I164">
        <v>16</v>
      </c>
      <c r="J164">
        <v>824.36</v>
      </c>
      <c r="K164">
        <v>13189.76</v>
      </c>
      <c r="L164" t="s">
        <v>22</v>
      </c>
      <c r="M164" t="s">
        <v>22</v>
      </c>
      <c r="N164" s="1">
        <v>46203</v>
      </c>
      <c r="O164">
        <v>13189.76</v>
      </c>
    </row>
    <row r="165" spans="1:15" x14ac:dyDescent="0.3">
      <c r="A165" t="s">
        <v>206</v>
      </c>
      <c r="B165" s="1">
        <v>45713</v>
      </c>
      <c r="C165" t="s">
        <v>114</v>
      </c>
      <c r="D165" t="s">
        <v>49</v>
      </c>
      <c r="E165" t="s">
        <v>18</v>
      </c>
      <c r="F165" t="s">
        <v>38</v>
      </c>
      <c r="G165" t="s">
        <v>39</v>
      </c>
      <c r="H165" t="s">
        <v>21</v>
      </c>
      <c r="I165">
        <v>16</v>
      </c>
      <c r="J165">
        <v>486.33</v>
      </c>
      <c r="K165">
        <v>7781.28</v>
      </c>
      <c r="L165" t="s">
        <v>22</v>
      </c>
      <c r="M165" t="s">
        <v>22</v>
      </c>
      <c r="N165" s="1">
        <v>46203</v>
      </c>
      <c r="O165">
        <v>7781.28</v>
      </c>
    </row>
    <row r="166" spans="1:15" x14ac:dyDescent="0.3">
      <c r="A166" t="s">
        <v>207</v>
      </c>
      <c r="B166" s="1">
        <v>45713</v>
      </c>
      <c r="C166" t="s">
        <v>114</v>
      </c>
      <c r="D166" t="s">
        <v>24</v>
      </c>
      <c r="E166" t="s">
        <v>28</v>
      </c>
      <c r="F166" t="s">
        <v>38</v>
      </c>
      <c r="G166" t="s">
        <v>20</v>
      </c>
      <c r="H166" t="s">
        <v>21</v>
      </c>
      <c r="I166">
        <v>16</v>
      </c>
      <c r="J166">
        <v>852.76</v>
      </c>
      <c r="K166">
        <v>13644.16</v>
      </c>
      <c r="L166" t="s">
        <v>22</v>
      </c>
      <c r="M166" t="s">
        <v>22</v>
      </c>
      <c r="N166" s="1">
        <v>46203</v>
      </c>
      <c r="O166">
        <v>13644.16</v>
      </c>
    </row>
    <row r="167" spans="1:15" x14ac:dyDescent="0.3">
      <c r="A167" t="s">
        <v>208</v>
      </c>
      <c r="B167" s="1">
        <v>45714</v>
      </c>
      <c r="C167" t="s">
        <v>114</v>
      </c>
      <c r="D167" t="s">
        <v>24</v>
      </c>
      <c r="E167" t="s">
        <v>28</v>
      </c>
      <c r="F167" t="s">
        <v>29</v>
      </c>
      <c r="G167" t="s">
        <v>26</v>
      </c>
      <c r="H167" t="s">
        <v>34</v>
      </c>
      <c r="I167">
        <v>11</v>
      </c>
      <c r="J167">
        <v>868.95</v>
      </c>
      <c r="K167">
        <v>9558.4500000000007</v>
      </c>
      <c r="L167" t="s">
        <v>30</v>
      </c>
      <c r="M167" t="s">
        <v>36</v>
      </c>
      <c r="N167" s="1">
        <v>46061</v>
      </c>
      <c r="O167">
        <v>9558.4500000000007</v>
      </c>
    </row>
    <row r="168" spans="1:15" x14ac:dyDescent="0.3">
      <c r="A168" t="s">
        <v>209</v>
      </c>
      <c r="B168" s="1">
        <v>45714</v>
      </c>
      <c r="C168" t="s">
        <v>114</v>
      </c>
      <c r="D168" t="s">
        <v>24</v>
      </c>
      <c r="E168" t="s">
        <v>18</v>
      </c>
      <c r="F168" t="s">
        <v>19</v>
      </c>
      <c r="G168" t="s">
        <v>39</v>
      </c>
      <c r="H168" t="s">
        <v>21</v>
      </c>
      <c r="I168">
        <v>16</v>
      </c>
      <c r="J168">
        <v>966.72</v>
      </c>
      <c r="K168">
        <v>15467.52</v>
      </c>
      <c r="L168" t="s">
        <v>22</v>
      </c>
      <c r="M168" t="s">
        <v>22</v>
      </c>
      <c r="N168" s="1">
        <v>46203</v>
      </c>
      <c r="O168">
        <v>15467.52</v>
      </c>
    </row>
    <row r="169" spans="1:15" x14ac:dyDescent="0.3">
      <c r="A169" t="s">
        <v>210</v>
      </c>
      <c r="B169" s="1">
        <v>45714</v>
      </c>
      <c r="C169" t="s">
        <v>114</v>
      </c>
      <c r="D169" t="s">
        <v>24</v>
      </c>
      <c r="E169" t="s">
        <v>50</v>
      </c>
      <c r="F169" t="s">
        <v>29</v>
      </c>
      <c r="G169" t="s">
        <v>39</v>
      </c>
      <c r="H169" t="s">
        <v>34</v>
      </c>
      <c r="I169">
        <v>16</v>
      </c>
      <c r="J169">
        <v>849.55</v>
      </c>
      <c r="K169">
        <v>13592.8</v>
      </c>
      <c r="L169" t="s">
        <v>22</v>
      </c>
      <c r="M169" t="s">
        <v>22</v>
      </c>
      <c r="N169" s="1">
        <v>46203</v>
      </c>
      <c r="O169">
        <v>13592.8</v>
      </c>
    </row>
    <row r="170" spans="1:15" x14ac:dyDescent="0.3">
      <c r="A170" t="s">
        <v>211</v>
      </c>
      <c r="B170" s="1">
        <v>45714</v>
      </c>
      <c r="C170" t="s">
        <v>114</v>
      </c>
      <c r="D170" t="s">
        <v>17</v>
      </c>
      <c r="E170" t="s">
        <v>25</v>
      </c>
      <c r="F170" t="s">
        <v>19</v>
      </c>
      <c r="G170" t="s">
        <v>39</v>
      </c>
      <c r="H170" t="s">
        <v>21</v>
      </c>
      <c r="I170">
        <v>11</v>
      </c>
      <c r="J170">
        <v>1574.88</v>
      </c>
      <c r="K170">
        <v>17323.68</v>
      </c>
      <c r="L170" t="s">
        <v>30</v>
      </c>
      <c r="M170" t="s">
        <v>31</v>
      </c>
      <c r="N170" s="1">
        <v>46064</v>
      </c>
      <c r="O170">
        <v>17323.68</v>
      </c>
    </row>
    <row r="171" spans="1:15" x14ac:dyDescent="0.3">
      <c r="A171" t="s">
        <v>212</v>
      </c>
      <c r="B171" s="1">
        <v>45714</v>
      </c>
      <c r="C171" t="s">
        <v>114</v>
      </c>
      <c r="D171" t="s">
        <v>24</v>
      </c>
      <c r="E171" t="s">
        <v>25</v>
      </c>
      <c r="F171" t="s">
        <v>29</v>
      </c>
      <c r="G171" t="s">
        <v>20</v>
      </c>
      <c r="H171" t="s">
        <v>21</v>
      </c>
      <c r="I171">
        <v>16</v>
      </c>
      <c r="J171">
        <v>831.47</v>
      </c>
      <c r="K171">
        <v>13303.52</v>
      </c>
      <c r="L171" t="s">
        <v>22</v>
      </c>
      <c r="M171" t="s">
        <v>22</v>
      </c>
      <c r="N171" s="1">
        <v>46203</v>
      </c>
      <c r="O171">
        <v>13303.52</v>
      </c>
    </row>
    <row r="172" spans="1:15" x14ac:dyDescent="0.3">
      <c r="A172" t="s">
        <v>213</v>
      </c>
      <c r="B172" s="1">
        <v>45715</v>
      </c>
      <c r="C172" t="s">
        <v>114</v>
      </c>
      <c r="D172" t="s">
        <v>17</v>
      </c>
      <c r="E172" t="s">
        <v>25</v>
      </c>
      <c r="F172" t="s">
        <v>19</v>
      </c>
      <c r="G172" t="s">
        <v>20</v>
      </c>
      <c r="H172" t="s">
        <v>34</v>
      </c>
      <c r="I172">
        <v>16</v>
      </c>
      <c r="J172">
        <v>1462.62</v>
      </c>
      <c r="K172">
        <v>23401.919999999998</v>
      </c>
      <c r="L172" t="s">
        <v>22</v>
      </c>
      <c r="M172" t="s">
        <v>22</v>
      </c>
      <c r="N172" s="1">
        <v>46203</v>
      </c>
      <c r="O172">
        <v>23401.919999999998</v>
      </c>
    </row>
    <row r="173" spans="1:15" x14ac:dyDescent="0.3">
      <c r="A173" t="s">
        <v>214</v>
      </c>
      <c r="B173" s="1">
        <v>45715</v>
      </c>
      <c r="C173" t="s">
        <v>114</v>
      </c>
      <c r="D173" t="s">
        <v>24</v>
      </c>
      <c r="E173" t="s">
        <v>50</v>
      </c>
      <c r="F173" t="s">
        <v>38</v>
      </c>
      <c r="G173" t="s">
        <v>20</v>
      </c>
      <c r="H173" t="s">
        <v>34</v>
      </c>
      <c r="I173">
        <v>16</v>
      </c>
      <c r="J173">
        <v>980.76</v>
      </c>
      <c r="K173">
        <v>15692.16</v>
      </c>
      <c r="L173" t="s">
        <v>22</v>
      </c>
      <c r="M173" t="s">
        <v>22</v>
      </c>
      <c r="N173" s="1">
        <v>46203</v>
      </c>
      <c r="O173">
        <v>15692.16</v>
      </c>
    </row>
    <row r="174" spans="1:15" x14ac:dyDescent="0.3">
      <c r="A174" t="s">
        <v>215</v>
      </c>
      <c r="B174" s="1">
        <v>45715</v>
      </c>
      <c r="C174" t="s">
        <v>114</v>
      </c>
      <c r="D174" t="s">
        <v>49</v>
      </c>
      <c r="E174" t="s">
        <v>28</v>
      </c>
      <c r="F174" t="s">
        <v>29</v>
      </c>
      <c r="G174" t="s">
        <v>20</v>
      </c>
      <c r="H174" t="s">
        <v>34</v>
      </c>
      <c r="I174">
        <v>3</v>
      </c>
      <c r="J174">
        <v>499.69</v>
      </c>
      <c r="K174">
        <v>1499.07</v>
      </c>
      <c r="L174" t="s">
        <v>30</v>
      </c>
      <c r="M174" t="s">
        <v>80</v>
      </c>
      <c r="N174" s="1">
        <v>45818</v>
      </c>
      <c r="O174">
        <v>1499.07</v>
      </c>
    </row>
    <row r="175" spans="1:15" x14ac:dyDescent="0.3">
      <c r="A175" t="s">
        <v>216</v>
      </c>
      <c r="B175" s="1">
        <v>45716</v>
      </c>
      <c r="C175" t="s">
        <v>114</v>
      </c>
      <c r="D175" t="s">
        <v>24</v>
      </c>
      <c r="E175" t="s">
        <v>28</v>
      </c>
      <c r="F175" t="s">
        <v>38</v>
      </c>
      <c r="G175" t="s">
        <v>39</v>
      </c>
      <c r="H175" t="s">
        <v>21</v>
      </c>
      <c r="I175">
        <v>16</v>
      </c>
      <c r="J175">
        <v>913.04</v>
      </c>
      <c r="K175">
        <v>14608.64</v>
      </c>
      <c r="L175" t="s">
        <v>22</v>
      </c>
      <c r="M175" t="s">
        <v>22</v>
      </c>
      <c r="N175" s="1">
        <v>46203</v>
      </c>
      <c r="O175">
        <v>14608.64</v>
      </c>
    </row>
    <row r="176" spans="1:15" x14ac:dyDescent="0.3">
      <c r="A176" t="s">
        <v>217</v>
      </c>
      <c r="B176" s="1">
        <v>45716</v>
      </c>
      <c r="C176" t="s">
        <v>114</v>
      </c>
      <c r="D176" t="s">
        <v>49</v>
      </c>
      <c r="E176" t="s">
        <v>28</v>
      </c>
      <c r="F176" t="s">
        <v>33</v>
      </c>
      <c r="G176" t="s">
        <v>39</v>
      </c>
      <c r="H176" t="s">
        <v>34</v>
      </c>
      <c r="I176">
        <v>16</v>
      </c>
      <c r="J176">
        <v>481.47</v>
      </c>
      <c r="K176">
        <v>7703.52</v>
      </c>
      <c r="L176" t="s">
        <v>22</v>
      </c>
      <c r="M176" t="s">
        <v>22</v>
      </c>
      <c r="N176" s="1">
        <v>46203</v>
      </c>
      <c r="O176">
        <v>7703.52</v>
      </c>
    </row>
    <row r="177" spans="1:15" x14ac:dyDescent="0.3">
      <c r="A177" t="s">
        <v>218</v>
      </c>
      <c r="B177" s="1">
        <v>45716</v>
      </c>
      <c r="C177" t="s">
        <v>114</v>
      </c>
      <c r="D177" t="s">
        <v>17</v>
      </c>
      <c r="E177" t="s">
        <v>25</v>
      </c>
      <c r="F177" t="s">
        <v>19</v>
      </c>
      <c r="G177" t="s">
        <v>26</v>
      </c>
      <c r="H177" t="s">
        <v>21</v>
      </c>
      <c r="I177">
        <v>16</v>
      </c>
      <c r="J177">
        <v>1612.69</v>
      </c>
      <c r="K177">
        <v>25803.040000000001</v>
      </c>
      <c r="L177" t="s">
        <v>22</v>
      </c>
      <c r="M177" t="s">
        <v>22</v>
      </c>
      <c r="N177" s="1">
        <v>46203</v>
      </c>
      <c r="O177">
        <v>25803.040000000001</v>
      </c>
    </row>
    <row r="178" spans="1:15" x14ac:dyDescent="0.3">
      <c r="A178" t="s">
        <v>219</v>
      </c>
      <c r="B178" s="1">
        <v>45718</v>
      </c>
      <c r="C178" t="s">
        <v>220</v>
      </c>
      <c r="D178" t="s">
        <v>17</v>
      </c>
      <c r="E178" t="s">
        <v>18</v>
      </c>
      <c r="F178" t="s">
        <v>29</v>
      </c>
      <c r="G178" t="s">
        <v>39</v>
      </c>
      <c r="H178" t="s">
        <v>21</v>
      </c>
      <c r="I178">
        <v>16</v>
      </c>
      <c r="J178">
        <v>1580.78</v>
      </c>
      <c r="K178">
        <v>25292.48</v>
      </c>
      <c r="L178" t="s">
        <v>22</v>
      </c>
      <c r="M178" t="s">
        <v>22</v>
      </c>
      <c r="N178" s="1">
        <v>46203</v>
      </c>
      <c r="O178">
        <v>25292.48</v>
      </c>
    </row>
    <row r="179" spans="1:15" x14ac:dyDescent="0.3">
      <c r="A179" t="s">
        <v>221</v>
      </c>
      <c r="B179" s="1">
        <v>45718</v>
      </c>
      <c r="C179" t="s">
        <v>220</v>
      </c>
      <c r="D179" t="s">
        <v>17</v>
      </c>
      <c r="E179" t="s">
        <v>25</v>
      </c>
      <c r="F179" t="s">
        <v>33</v>
      </c>
      <c r="G179" t="s">
        <v>39</v>
      </c>
      <c r="H179" t="s">
        <v>21</v>
      </c>
      <c r="I179">
        <v>16</v>
      </c>
      <c r="J179">
        <v>1616.49</v>
      </c>
      <c r="K179">
        <v>25863.84</v>
      </c>
      <c r="L179" t="s">
        <v>22</v>
      </c>
      <c r="M179" t="s">
        <v>22</v>
      </c>
      <c r="N179" s="1">
        <v>46203</v>
      </c>
      <c r="O179">
        <v>25863.84</v>
      </c>
    </row>
    <row r="180" spans="1:15" x14ac:dyDescent="0.3">
      <c r="A180" t="s">
        <v>222</v>
      </c>
      <c r="B180" s="1">
        <v>45718</v>
      </c>
      <c r="C180" t="s">
        <v>220</v>
      </c>
      <c r="D180" t="s">
        <v>17</v>
      </c>
      <c r="E180" t="s">
        <v>18</v>
      </c>
      <c r="F180" t="s">
        <v>29</v>
      </c>
      <c r="G180" t="s">
        <v>39</v>
      </c>
      <c r="H180" t="s">
        <v>34</v>
      </c>
      <c r="I180">
        <v>16</v>
      </c>
      <c r="J180">
        <v>1584.54</v>
      </c>
      <c r="K180">
        <v>25352.639999999999</v>
      </c>
      <c r="L180" t="s">
        <v>22</v>
      </c>
      <c r="M180" t="s">
        <v>22</v>
      </c>
      <c r="N180" s="1">
        <v>46203</v>
      </c>
      <c r="O180">
        <v>25352.639999999999</v>
      </c>
    </row>
    <row r="181" spans="1:15" x14ac:dyDescent="0.3">
      <c r="A181" t="s">
        <v>223</v>
      </c>
      <c r="B181" s="1">
        <v>45718</v>
      </c>
      <c r="C181" t="s">
        <v>220</v>
      </c>
      <c r="D181" t="s">
        <v>24</v>
      </c>
      <c r="E181" t="s">
        <v>28</v>
      </c>
      <c r="F181" t="s">
        <v>33</v>
      </c>
      <c r="G181" t="s">
        <v>39</v>
      </c>
      <c r="H181" t="s">
        <v>34</v>
      </c>
      <c r="I181">
        <v>14</v>
      </c>
      <c r="J181">
        <v>891.09</v>
      </c>
      <c r="K181">
        <v>12475.26</v>
      </c>
      <c r="L181" t="s">
        <v>30</v>
      </c>
      <c r="M181" t="s">
        <v>43</v>
      </c>
      <c r="N181" s="1">
        <v>46136</v>
      </c>
      <c r="O181">
        <v>12475.26</v>
      </c>
    </row>
    <row r="182" spans="1:15" x14ac:dyDescent="0.3">
      <c r="A182" t="s">
        <v>224</v>
      </c>
      <c r="B182" s="1">
        <v>45718</v>
      </c>
      <c r="C182" t="s">
        <v>220</v>
      </c>
      <c r="D182" t="s">
        <v>17</v>
      </c>
      <c r="E182" t="s">
        <v>18</v>
      </c>
      <c r="F182" t="s">
        <v>19</v>
      </c>
      <c r="G182" t="s">
        <v>20</v>
      </c>
      <c r="H182" t="s">
        <v>21</v>
      </c>
      <c r="I182">
        <v>16</v>
      </c>
      <c r="J182">
        <v>1637.45</v>
      </c>
      <c r="K182">
        <v>26199.200000000001</v>
      </c>
      <c r="L182" t="s">
        <v>22</v>
      </c>
      <c r="M182" t="s">
        <v>22</v>
      </c>
      <c r="N182" s="1">
        <v>46203</v>
      </c>
      <c r="O182">
        <v>26199.200000000001</v>
      </c>
    </row>
    <row r="183" spans="1:15" x14ac:dyDescent="0.3">
      <c r="A183" t="s">
        <v>225</v>
      </c>
      <c r="B183" s="1">
        <v>45718</v>
      </c>
      <c r="C183" t="s">
        <v>220</v>
      </c>
      <c r="D183" t="s">
        <v>17</v>
      </c>
      <c r="E183" t="s">
        <v>25</v>
      </c>
      <c r="F183" t="s">
        <v>29</v>
      </c>
      <c r="G183" t="s">
        <v>20</v>
      </c>
      <c r="H183" t="s">
        <v>40</v>
      </c>
      <c r="I183">
        <v>16</v>
      </c>
      <c r="J183">
        <v>1555.03</v>
      </c>
      <c r="K183">
        <v>24880.48</v>
      </c>
      <c r="L183" t="s">
        <v>22</v>
      </c>
      <c r="M183" t="s">
        <v>22</v>
      </c>
      <c r="N183" s="1">
        <v>46203</v>
      </c>
      <c r="O183">
        <v>24880.48</v>
      </c>
    </row>
    <row r="184" spans="1:15" x14ac:dyDescent="0.3">
      <c r="A184" t="s">
        <v>226</v>
      </c>
      <c r="B184" s="1">
        <v>45718</v>
      </c>
      <c r="C184" t="s">
        <v>220</v>
      </c>
      <c r="D184" t="s">
        <v>24</v>
      </c>
      <c r="E184" t="s">
        <v>28</v>
      </c>
      <c r="F184" t="s">
        <v>29</v>
      </c>
      <c r="G184" t="s">
        <v>39</v>
      </c>
      <c r="H184" t="s">
        <v>21</v>
      </c>
      <c r="I184">
        <v>16</v>
      </c>
      <c r="J184">
        <v>821.66</v>
      </c>
      <c r="K184">
        <v>13146.56</v>
      </c>
      <c r="L184" t="s">
        <v>22</v>
      </c>
      <c r="M184" t="s">
        <v>22</v>
      </c>
      <c r="N184" s="1">
        <v>46203</v>
      </c>
      <c r="O184">
        <v>13146.56</v>
      </c>
    </row>
    <row r="185" spans="1:15" x14ac:dyDescent="0.3">
      <c r="A185" t="s">
        <v>227</v>
      </c>
      <c r="B185" s="1">
        <v>45719</v>
      </c>
      <c r="C185" t="s">
        <v>220</v>
      </c>
      <c r="D185" t="s">
        <v>17</v>
      </c>
      <c r="E185" t="s">
        <v>50</v>
      </c>
      <c r="F185" t="s">
        <v>51</v>
      </c>
      <c r="G185" t="s">
        <v>39</v>
      </c>
      <c r="H185" t="s">
        <v>21</v>
      </c>
      <c r="I185">
        <v>1</v>
      </c>
      <c r="J185">
        <v>1516.63</v>
      </c>
      <c r="K185">
        <v>1516.63</v>
      </c>
      <c r="L185" t="s">
        <v>30</v>
      </c>
      <c r="M185" t="s">
        <v>31</v>
      </c>
      <c r="N185" s="1">
        <v>45750</v>
      </c>
      <c r="O185">
        <v>1516.63</v>
      </c>
    </row>
    <row r="186" spans="1:15" x14ac:dyDescent="0.3">
      <c r="A186" t="s">
        <v>228</v>
      </c>
      <c r="B186" s="1">
        <v>45719</v>
      </c>
      <c r="C186" t="s">
        <v>220</v>
      </c>
      <c r="D186" t="s">
        <v>49</v>
      </c>
      <c r="E186" t="s">
        <v>28</v>
      </c>
      <c r="F186" t="s">
        <v>33</v>
      </c>
      <c r="G186" t="s">
        <v>26</v>
      </c>
      <c r="H186" t="s">
        <v>21</v>
      </c>
      <c r="I186">
        <v>8</v>
      </c>
      <c r="J186">
        <v>468.9</v>
      </c>
      <c r="K186">
        <v>3751.2</v>
      </c>
      <c r="L186" t="s">
        <v>30</v>
      </c>
      <c r="M186" t="s">
        <v>31</v>
      </c>
      <c r="N186" s="1">
        <v>45948</v>
      </c>
      <c r="O186">
        <v>3751.2</v>
      </c>
    </row>
    <row r="187" spans="1:15" x14ac:dyDescent="0.3">
      <c r="A187" t="s">
        <v>229</v>
      </c>
      <c r="B187" s="1">
        <v>45720</v>
      </c>
      <c r="C187" t="s">
        <v>220</v>
      </c>
      <c r="D187" t="s">
        <v>24</v>
      </c>
      <c r="E187" t="s">
        <v>25</v>
      </c>
      <c r="F187" t="s">
        <v>19</v>
      </c>
      <c r="G187" t="s">
        <v>39</v>
      </c>
      <c r="H187" t="s">
        <v>40</v>
      </c>
      <c r="I187">
        <v>16</v>
      </c>
      <c r="J187">
        <v>842.54</v>
      </c>
      <c r="K187">
        <v>13480.64</v>
      </c>
      <c r="L187" t="s">
        <v>22</v>
      </c>
      <c r="M187" t="s">
        <v>22</v>
      </c>
      <c r="N187" s="1">
        <v>46203</v>
      </c>
      <c r="O187">
        <v>13480.64</v>
      </c>
    </row>
    <row r="188" spans="1:15" x14ac:dyDescent="0.3">
      <c r="A188" t="s">
        <v>230</v>
      </c>
      <c r="B188" s="1">
        <v>45720</v>
      </c>
      <c r="C188" t="s">
        <v>220</v>
      </c>
      <c r="D188" t="s">
        <v>49</v>
      </c>
      <c r="E188" t="s">
        <v>25</v>
      </c>
      <c r="F188" t="s">
        <v>51</v>
      </c>
      <c r="G188" t="s">
        <v>39</v>
      </c>
      <c r="H188" t="s">
        <v>40</v>
      </c>
      <c r="I188">
        <v>16</v>
      </c>
      <c r="J188">
        <v>540.01</v>
      </c>
      <c r="K188">
        <v>8640.16</v>
      </c>
      <c r="L188" t="s">
        <v>22</v>
      </c>
      <c r="M188" t="s">
        <v>22</v>
      </c>
      <c r="N188" s="1">
        <v>46203</v>
      </c>
      <c r="O188">
        <v>8640.16</v>
      </c>
    </row>
    <row r="189" spans="1:15" x14ac:dyDescent="0.3">
      <c r="A189" t="s">
        <v>231</v>
      </c>
      <c r="B189" s="1">
        <v>45721</v>
      </c>
      <c r="C189" t="s">
        <v>220</v>
      </c>
      <c r="D189" t="s">
        <v>24</v>
      </c>
      <c r="E189" t="s">
        <v>25</v>
      </c>
      <c r="F189" t="s">
        <v>19</v>
      </c>
      <c r="G189" t="s">
        <v>39</v>
      </c>
      <c r="H189" t="s">
        <v>21</v>
      </c>
      <c r="I189">
        <v>16</v>
      </c>
      <c r="J189">
        <v>981.92</v>
      </c>
      <c r="K189">
        <v>15710.72</v>
      </c>
      <c r="L189" t="s">
        <v>22</v>
      </c>
      <c r="M189" t="s">
        <v>22</v>
      </c>
      <c r="N189" s="1">
        <v>46203</v>
      </c>
      <c r="O189">
        <v>15710.72</v>
      </c>
    </row>
    <row r="190" spans="1:15" x14ac:dyDescent="0.3">
      <c r="A190" t="s">
        <v>232</v>
      </c>
      <c r="B190" s="1">
        <v>45721</v>
      </c>
      <c r="C190" t="s">
        <v>220</v>
      </c>
      <c r="D190" t="s">
        <v>49</v>
      </c>
      <c r="E190" t="s">
        <v>25</v>
      </c>
      <c r="F190" t="s">
        <v>29</v>
      </c>
      <c r="G190" t="s">
        <v>39</v>
      </c>
      <c r="H190" t="s">
        <v>21</v>
      </c>
      <c r="I190">
        <v>16</v>
      </c>
      <c r="J190">
        <v>469.93</v>
      </c>
      <c r="K190">
        <v>7518.88</v>
      </c>
      <c r="L190" t="s">
        <v>22</v>
      </c>
      <c r="M190" t="s">
        <v>22</v>
      </c>
      <c r="N190" s="1">
        <v>46203</v>
      </c>
      <c r="O190">
        <v>7518.88</v>
      </c>
    </row>
    <row r="191" spans="1:15" x14ac:dyDescent="0.3">
      <c r="A191" t="s">
        <v>233</v>
      </c>
      <c r="B191" s="1">
        <v>45721</v>
      </c>
      <c r="C191" t="s">
        <v>220</v>
      </c>
      <c r="D191" t="s">
        <v>49</v>
      </c>
      <c r="E191" t="s">
        <v>50</v>
      </c>
      <c r="F191" t="s">
        <v>19</v>
      </c>
      <c r="G191" t="s">
        <v>26</v>
      </c>
      <c r="H191" t="s">
        <v>21</v>
      </c>
      <c r="I191">
        <v>16</v>
      </c>
      <c r="J191">
        <v>473.02</v>
      </c>
      <c r="K191">
        <v>7568.32</v>
      </c>
      <c r="L191" t="s">
        <v>22</v>
      </c>
      <c r="M191" t="s">
        <v>22</v>
      </c>
      <c r="N191" s="1">
        <v>46203</v>
      </c>
      <c r="O191">
        <v>7568.32</v>
      </c>
    </row>
    <row r="192" spans="1:15" x14ac:dyDescent="0.3">
      <c r="A192" t="s">
        <v>234</v>
      </c>
      <c r="B192" s="1">
        <v>45721</v>
      </c>
      <c r="C192" t="s">
        <v>220</v>
      </c>
      <c r="D192" t="s">
        <v>24</v>
      </c>
      <c r="E192" t="s">
        <v>50</v>
      </c>
      <c r="F192" t="s">
        <v>29</v>
      </c>
      <c r="G192" t="s">
        <v>26</v>
      </c>
      <c r="H192" t="s">
        <v>21</v>
      </c>
      <c r="I192">
        <v>16</v>
      </c>
      <c r="J192">
        <v>988.3</v>
      </c>
      <c r="K192">
        <v>15812.8</v>
      </c>
      <c r="L192" t="s">
        <v>22</v>
      </c>
      <c r="M192" t="s">
        <v>22</v>
      </c>
      <c r="N192" s="1">
        <v>46203</v>
      </c>
      <c r="O192">
        <v>15812.8</v>
      </c>
    </row>
    <row r="193" spans="1:15" x14ac:dyDescent="0.3">
      <c r="A193" t="s">
        <v>235</v>
      </c>
      <c r="B193" s="1">
        <v>45722</v>
      </c>
      <c r="C193" t="s">
        <v>220</v>
      </c>
      <c r="D193" t="s">
        <v>24</v>
      </c>
      <c r="E193" t="s">
        <v>28</v>
      </c>
      <c r="F193" t="s">
        <v>51</v>
      </c>
      <c r="G193" t="s">
        <v>20</v>
      </c>
      <c r="H193" t="s">
        <v>21</v>
      </c>
      <c r="I193">
        <v>16</v>
      </c>
      <c r="J193">
        <v>862.81</v>
      </c>
      <c r="K193">
        <v>13804.96</v>
      </c>
      <c r="L193" t="s">
        <v>22</v>
      </c>
      <c r="M193" t="s">
        <v>22</v>
      </c>
      <c r="N193" s="1">
        <v>46203</v>
      </c>
      <c r="O193">
        <v>13804.96</v>
      </c>
    </row>
    <row r="194" spans="1:15" x14ac:dyDescent="0.3">
      <c r="A194" t="s">
        <v>236</v>
      </c>
      <c r="B194" s="1">
        <v>45722</v>
      </c>
      <c r="C194" t="s">
        <v>220</v>
      </c>
      <c r="D194" t="s">
        <v>49</v>
      </c>
      <c r="E194" t="s">
        <v>18</v>
      </c>
      <c r="F194" t="s">
        <v>33</v>
      </c>
      <c r="G194" t="s">
        <v>26</v>
      </c>
      <c r="H194" t="s">
        <v>40</v>
      </c>
      <c r="I194">
        <v>16</v>
      </c>
      <c r="J194">
        <v>537.41</v>
      </c>
      <c r="K194">
        <v>8598.56</v>
      </c>
      <c r="L194" t="s">
        <v>22</v>
      </c>
      <c r="M194" t="s">
        <v>22</v>
      </c>
      <c r="N194" s="1">
        <v>46203</v>
      </c>
      <c r="O194">
        <v>8598.56</v>
      </c>
    </row>
    <row r="195" spans="1:15" x14ac:dyDescent="0.3">
      <c r="A195" t="s">
        <v>237</v>
      </c>
      <c r="B195" s="1">
        <v>45722</v>
      </c>
      <c r="C195" t="s">
        <v>220</v>
      </c>
      <c r="D195" t="s">
        <v>49</v>
      </c>
      <c r="E195" t="s">
        <v>28</v>
      </c>
      <c r="F195" t="s">
        <v>51</v>
      </c>
      <c r="G195" t="s">
        <v>39</v>
      </c>
      <c r="H195" t="s">
        <v>45</v>
      </c>
      <c r="I195">
        <v>16</v>
      </c>
      <c r="J195">
        <v>517.9</v>
      </c>
      <c r="K195">
        <v>8286.4</v>
      </c>
      <c r="L195" t="s">
        <v>22</v>
      </c>
      <c r="M195" t="s">
        <v>22</v>
      </c>
      <c r="N195" s="1">
        <v>46203</v>
      </c>
      <c r="O195">
        <v>8286.4</v>
      </c>
    </row>
    <row r="196" spans="1:15" x14ac:dyDescent="0.3">
      <c r="A196" t="s">
        <v>238</v>
      </c>
      <c r="B196" s="1">
        <v>45723</v>
      </c>
      <c r="C196" t="s">
        <v>220</v>
      </c>
      <c r="D196" t="s">
        <v>17</v>
      </c>
      <c r="E196" t="s">
        <v>18</v>
      </c>
      <c r="F196" t="s">
        <v>51</v>
      </c>
      <c r="G196" t="s">
        <v>20</v>
      </c>
      <c r="H196" t="s">
        <v>21</v>
      </c>
      <c r="I196">
        <v>16</v>
      </c>
      <c r="J196">
        <v>1525.54</v>
      </c>
      <c r="K196">
        <v>24408.639999999999</v>
      </c>
      <c r="L196" t="s">
        <v>22</v>
      </c>
      <c r="M196" t="s">
        <v>22</v>
      </c>
      <c r="N196" s="1">
        <v>46203</v>
      </c>
      <c r="O196">
        <v>24408.639999999999</v>
      </c>
    </row>
    <row r="197" spans="1:15" x14ac:dyDescent="0.3">
      <c r="A197" t="s">
        <v>239</v>
      </c>
      <c r="B197" s="1">
        <v>45723</v>
      </c>
      <c r="C197" t="s">
        <v>220</v>
      </c>
      <c r="D197" t="s">
        <v>49</v>
      </c>
      <c r="E197" t="s">
        <v>28</v>
      </c>
      <c r="F197" t="s">
        <v>38</v>
      </c>
      <c r="G197" t="s">
        <v>39</v>
      </c>
      <c r="H197" t="s">
        <v>21</v>
      </c>
      <c r="I197">
        <v>15</v>
      </c>
      <c r="J197">
        <v>459.09</v>
      </c>
      <c r="K197">
        <v>6886.35</v>
      </c>
      <c r="L197" t="s">
        <v>30</v>
      </c>
      <c r="M197" t="s">
        <v>31</v>
      </c>
      <c r="N197" s="1">
        <v>46180</v>
      </c>
      <c r="O197">
        <v>6886.35</v>
      </c>
    </row>
    <row r="198" spans="1:15" x14ac:dyDescent="0.3">
      <c r="A198" t="s">
        <v>240</v>
      </c>
      <c r="B198" s="1">
        <v>45723</v>
      </c>
      <c r="C198" t="s">
        <v>220</v>
      </c>
      <c r="D198" t="s">
        <v>49</v>
      </c>
      <c r="E198" t="s">
        <v>28</v>
      </c>
      <c r="F198" t="s">
        <v>29</v>
      </c>
      <c r="G198" t="s">
        <v>39</v>
      </c>
      <c r="H198" t="s">
        <v>21</v>
      </c>
      <c r="I198">
        <v>7</v>
      </c>
      <c r="J198">
        <v>452.77</v>
      </c>
      <c r="K198">
        <v>3169.39</v>
      </c>
      <c r="L198" t="s">
        <v>30</v>
      </c>
      <c r="M198" t="s">
        <v>41</v>
      </c>
      <c r="N198" s="1">
        <v>45935</v>
      </c>
      <c r="O198">
        <v>3169.39</v>
      </c>
    </row>
    <row r="199" spans="1:15" x14ac:dyDescent="0.3">
      <c r="A199" t="s">
        <v>241</v>
      </c>
      <c r="B199" s="1">
        <v>45724</v>
      </c>
      <c r="C199" t="s">
        <v>220</v>
      </c>
      <c r="D199" t="s">
        <v>49</v>
      </c>
      <c r="E199" t="s">
        <v>50</v>
      </c>
      <c r="F199" t="s">
        <v>29</v>
      </c>
      <c r="G199" t="s">
        <v>39</v>
      </c>
      <c r="H199" t="s">
        <v>34</v>
      </c>
      <c r="I199">
        <v>1</v>
      </c>
      <c r="J199">
        <v>491.96</v>
      </c>
      <c r="K199">
        <v>491.96</v>
      </c>
      <c r="L199" t="s">
        <v>30</v>
      </c>
      <c r="M199" t="s">
        <v>80</v>
      </c>
      <c r="N199" s="1">
        <v>45768</v>
      </c>
      <c r="O199">
        <v>491.96</v>
      </c>
    </row>
    <row r="200" spans="1:15" x14ac:dyDescent="0.3">
      <c r="A200" t="s">
        <v>242</v>
      </c>
      <c r="B200" s="1">
        <v>45724</v>
      </c>
      <c r="C200" t="s">
        <v>220</v>
      </c>
      <c r="D200" t="s">
        <v>24</v>
      </c>
      <c r="E200" t="s">
        <v>28</v>
      </c>
      <c r="F200" t="s">
        <v>19</v>
      </c>
      <c r="G200" t="s">
        <v>39</v>
      </c>
      <c r="H200" t="s">
        <v>21</v>
      </c>
      <c r="I200">
        <v>16</v>
      </c>
      <c r="J200">
        <v>920.73</v>
      </c>
      <c r="K200">
        <v>14731.68</v>
      </c>
      <c r="L200" t="s">
        <v>22</v>
      </c>
      <c r="M200" t="s">
        <v>22</v>
      </c>
      <c r="N200" s="1">
        <v>46203</v>
      </c>
      <c r="O200">
        <v>14731.68</v>
      </c>
    </row>
    <row r="201" spans="1:15" x14ac:dyDescent="0.3">
      <c r="A201" t="s">
        <v>243</v>
      </c>
      <c r="B201" s="1">
        <v>45724</v>
      </c>
      <c r="C201" t="s">
        <v>220</v>
      </c>
      <c r="D201" t="s">
        <v>17</v>
      </c>
      <c r="E201" t="s">
        <v>28</v>
      </c>
      <c r="F201" t="s">
        <v>38</v>
      </c>
      <c r="G201" t="s">
        <v>39</v>
      </c>
      <c r="H201" t="s">
        <v>45</v>
      </c>
      <c r="I201">
        <v>16</v>
      </c>
      <c r="J201">
        <v>1447.79</v>
      </c>
      <c r="K201">
        <v>23164.639999999999</v>
      </c>
      <c r="L201" t="s">
        <v>22</v>
      </c>
      <c r="M201" t="s">
        <v>22</v>
      </c>
      <c r="N201" s="1">
        <v>46203</v>
      </c>
      <c r="O201">
        <v>23164.639999999999</v>
      </c>
    </row>
    <row r="202" spans="1:15" x14ac:dyDescent="0.3">
      <c r="A202" t="s">
        <v>244</v>
      </c>
      <c r="B202" s="1">
        <v>45724</v>
      </c>
      <c r="C202" t="s">
        <v>220</v>
      </c>
      <c r="D202" t="s">
        <v>24</v>
      </c>
      <c r="E202" t="s">
        <v>25</v>
      </c>
      <c r="F202" t="s">
        <v>38</v>
      </c>
      <c r="G202" t="s">
        <v>39</v>
      </c>
      <c r="H202" t="s">
        <v>21</v>
      </c>
      <c r="I202">
        <v>2</v>
      </c>
      <c r="J202">
        <v>881.28</v>
      </c>
      <c r="K202">
        <v>1762.56</v>
      </c>
      <c r="L202" t="s">
        <v>30</v>
      </c>
      <c r="M202" t="s">
        <v>80</v>
      </c>
      <c r="N202" s="1">
        <v>45774</v>
      </c>
      <c r="O202">
        <v>1762.56</v>
      </c>
    </row>
    <row r="203" spans="1:15" x14ac:dyDescent="0.3">
      <c r="A203" t="s">
        <v>245</v>
      </c>
      <c r="B203" s="1">
        <v>45724</v>
      </c>
      <c r="C203" t="s">
        <v>220</v>
      </c>
      <c r="D203" t="s">
        <v>17</v>
      </c>
      <c r="E203" t="s">
        <v>50</v>
      </c>
      <c r="F203" t="s">
        <v>33</v>
      </c>
      <c r="G203" t="s">
        <v>39</v>
      </c>
      <c r="H203" t="s">
        <v>34</v>
      </c>
      <c r="I203">
        <v>16</v>
      </c>
      <c r="J203">
        <v>1576.51</v>
      </c>
      <c r="K203">
        <v>25224.16</v>
      </c>
      <c r="L203" t="s">
        <v>22</v>
      </c>
      <c r="M203" t="s">
        <v>22</v>
      </c>
      <c r="N203" s="1">
        <v>46203</v>
      </c>
      <c r="O203">
        <v>25224.16</v>
      </c>
    </row>
    <row r="204" spans="1:15" x14ac:dyDescent="0.3">
      <c r="A204" t="s">
        <v>246</v>
      </c>
      <c r="B204" s="1">
        <v>45726</v>
      </c>
      <c r="C204" t="s">
        <v>220</v>
      </c>
      <c r="D204" t="s">
        <v>49</v>
      </c>
      <c r="E204" t="s">
        <v>50</v>
      </c>
      <c r="F204" t="s">
        <v>38</v>
      </c>
      <c r="G204" t="s">
        <v>39</v>
      </c>
      <c r="H204" t="s">
        <v>21</v>
      </c>
      <c r="I204">
        <v>16</v>
      </c>
      <c r="J204">
        <v>524.91999999999996</v>
      </c>
      <c r="K204">
        <v>8398.7199999999993</v>
      </c>
      <c r="L204" t="s">
        <v>22</v>
      </c>
      <c r="M204" t="s">
        <v>22</v>
      </c>
      <c r="N204" s="1">
        <v>46203</v>
      </c>
      <c r="O204">
        <v>8398.7199999999993</v>
      </c>
    </row>
    <row r="205" spans="1:15" x14ac:dyDescent="0.3">
      <c r="A205" t="s">
        <v>247</v>
      </c>
      <c r="B205" s="1">
        <v>45727</v>
      </c>
      <c r="C205" t="s">
        <v>220</v>
      </c>
      <c r="D205" t="s">
        <v>17</v>
      </c>
      <c r="E205" t="s">
        <v>28</v>
      </c>
      <c r="F205" t="s">
        <v>19</v>
      </c>
      <c r="G205" t="s">
        <v>39</v>
      </c>
      <c r="H205" t="s">
        <v>45</v>
      </c>
      <c r="I205">
        <v>16</v>
      </c>
      <c r="J205">
        <v>1354.72</v>
      </c>
      <c r="K205">
        <v>21675.52</v>
      </c>
      <c r="L205" t="s">
        <v>22</v>
      </c>
      <c r="M205" t="s">
        <v>22</v>
      </c>
      <c r="N205" s="1">
        <v>46203</v>
      </c>
      <c r="O205">
        <v>21675.52</v>
      </c>
    </row>
    <row r="206" spans="1:15" x14ac:dyDescent="0.3">
      <c r="A206" t="s">
        <v>248</v>
      </c>
      <c r="B206" s="1">
        <v>45728</v>
      </c>
      <c r="C206" t="s">
        <v>220</v>
      </c>
      <c r="D206" t="s">
        <v>49</v>
      </c>
      <c r="E206" t="s">
        <v>25</v>
      </c>
      <c r="F206" t="s">
        <v>51</v>
      </c>
      <c r="G206" t="s">
        <v>39</v>
      </c>
      <c r="H206" t="s">
        <v>21</v>
      </c>
      <c r="I206">
        <v>9</v>
      </c>
      <c r="J206">
        <v>461.91</v>
      </c>
      <c r="K206">
        <v>4157.1899999999996</v>
      </c>
      <c r="L206" t="s">
        <v>30</v>
      </c>
      <c r="M206" t="s">
        <v>36</v>
      </c>
      <c r="N206" s="1">
        <v>45990</v>
      </c>
      <c r="O206">
        <v>4157.1899999999996</v>
      </c>
    </row>
    <row r="207" spans="1:15" x14ac:dyDescent="0.3">
      <c r="A207" t="s">
        <v>249</v>
      </c>
      <c r="B207" s="1">
        <v>45728</v>
      </c>
      <c r="C207" t="s">
        <v>220</v>
      </c>
      <c r="D207" t="s">
        <v>17</v>
      </c>
      <c r="E207" t="s">
        <v>25</v>
      </c>
      <c r="F207" t="s">
        <v>19</v>
      </c>
      <c r="G207" t="s">
        <v>39</v>
      </c>
      <c r="H207" t="s">
        <v>45</v>
      </c>
      <c r="I207">
        <v>16</v>
      </c>
      <c r="J207">
        <v>1388.95</v>
      </c>
      <c r="K207">
        <v>22223.200000000001</v>
      </c>
      <c r="L207" t="s">
        <v>22</v>
      </c>
      <c r="M207" t="s">
        <v>22</v>
      </c>
      <c r="N207" s="1">
        <v>46203</v>
      </c>
      <c r="O207">
        <v>22223.200000000001</v>
      </c>
    </row>
    <row r="208" spans="1:15" x14ac:dyDescent="0.3">
      <c r="A208" t="s">
        <v>250</v>
      </c>
      <c r="B208" s="1">
        <v>45729</v>
      </c>
      <c r="C208" t="s">
        <v>220</v>
      </c>
      <c r="D208" t="s">
        <v>49</v>
      </c>
      <c r="E208" t="s">
        <v>25</v>
      </c>
      <c r="F208" t="s">
        <v>29</v>
      </c>
      <c r="G208" t="s">
        <v>39</v>
      </c>
      <c r="H208" t="s">
        <v>40</v>
      </c>
      <c r="I208">
        <v>11</v>
      </c>
      <c r="J208">
        <v>533.01</v>
      </c>
      <c r="K208">
        <v>5863.11</v>
      </c>
      <c r="L208" t="s">
        <v>30</v>
      </c>
      <c r="M208" t="s">
        <v>31</v>
      </c>
      <c r="N208" s="1">
        <v>46068</v>
      </c>
      <c r="O208">
        <v>5863.11</v>
      </c>
    </row>
    <row r="209" spans="1:15" x14ac:dyDescent="0.3">
      <c r="A209" t="s">
        <v>251</v>
      </c>
      <c r="B209" s="1">
        <v>45729</v>
      </c>
      <c r="C209" t="s">
        <v>220</v>
      </c>
      <c r="D209" t="s">
        <v>24</v>
      </c>
      <c r="E209" t="s">
        <v>25</v>
      </c>
      <c r="F209" t="s">
        <v>38</v>
      </c>
      <c r="G209" t="s">
        <v>26</v>
      </c>
      <c r="H209" t="s">
        <v>21</v>
      </c>
      <c r="I209">
        <v>16</v>
      </c>
      <c r="J209">
        <v>961.78</v>
      </c>
      <c r="K209">
        <v>15388.48</v>
      </c>
      <c r="L209" t="s">
        <v>22</v>
      </c>
      <c r="M209" t="s">
        <v>22</v>
      </c>
      <c r="N209" s="1">
        <v>46203</v>
      </c>
      <c r="O209">
        <v>15388.48</v>
      </c>
    </row>
    <row r="210" spans="1:15" x14ac:dyDescent="0.3">
      <c r="A210" t="s">
        <v>252</v>
      </c>
      <c r="B210" s="1">
        <v>45729</v>
      </c>
      <c r="C210" t="s">
        <v>220</v>
      </c>
      <c r="D210" t="s">
        <v>49</v>
      </c>
      <c r="E210" t="s">
        <v>28</v>
      </c>
      <c r="F210" t="s">
        <v>19</v>
      </c>
      <c r="G210" t="s">
        <v>39</v>
      </c>
      <c r="H210" t="s">
        <v>34</v>
      </c>
      <c r="I210">
        <v>6</v>
      </c>
      <c r="J210">
        <v>455.52</v>
      </c>
      <c r="K210">
        <v>2733.12</v>
      </c>
      <c r="L210" t="s">
        <v>30</v>
      </c>
      <c r="M210" t="s">
        <v>31</v>
      </c>
      <c r="N210" s="1">
        <v>45916</v>
      </c>
      <c r="O210">
        <v>2733.12</v>
      </c>
    </row>
    <row r="211" spans="1:15" x14ac:dyDescent="0.3">
      <c r="A211" t="s">
        <v>253</v>
      </c>
      <c r="B211" s="1">
        <v>45729</v>
      </c>
      <c r="C211" t="s">
        <v>220</v>
      </c>
      <c r="D211" t="s">
        <v>24</v>
      </c>
      <c r="E211" t="s">
        <v>28</v>
      </c>
      <c r="F211" t="s">
        <v>38</v>
      </c>
      <c r="G211" t="s">
        <v>39</v>
      </c>
      <c r="H211" t="s">
        <v>21</v>
      </c>
      <c r="I211">
        <v>8</v>
      </c>
      <c r="J211">
        <v>949.21</v>
      </c>
      <c r="K211">
        <v>7593.68</v>
      </c>
      <c r="L211" t="s">
        <v>30</v>
      </c>
      <c r="M211" t="s">
        <v>31</v>
      </c>
      <c r="N211" s="1">
        <v>45986</v>
      </c>
      <c r="O211">
        <v>7593.68</v>
      </c>
    </row>
    <row r="212" spans="1:15" x14ac:dyDescent="0.3">
      <c r="A212" t="s">
        <v>254</v>
      </c>
      <c r="B212" s="1">
        <v>45730</v>
      </c>
      <c r="C212" t="s">
        <v>220</v>
      </c>
      <c r="D212" t="s">
        <v>49</v>
      </c>
      <c r="E212" t="s">
        <v>25</v>
      </c>
      <c r="F212" t="s">
        <v>19</v>
      </c>
      <c r="G212" t="s">
        <v>39</v>
      </c>
      <c r="H212" t="s">
        <v>21</v>
      </c>
      <c r="I212">
        <v>6</v>
      </c>
      <c r="J212">
        <v>466</v>
      </c>
      <c r="K212">
        <v>2796</v>
      </c>
      <c r="L212" t="s">
        <v>30</v>
      </c>
      <c r="M212" t="s">
        <v>36</v>
      </c>
      <c r="N212" s="1">
        <v>45913</v>
      </c>
      <c r="O212">
        <v>2796</v>
      </c>
    </row>
    <row r="213" spans="1:15" x14ac:dyDescent="0.3">
      <c r="A213" t="s">
        <v>255</v>
      </c>
      <c r="B213" s="1">
        <v>45730</v>
      </c>
      <c r="C213" t="s">
        <v>220</v>
      </c>
      <c r="D213" t="s">
        <v>24</v>
      </c>
      <c r="E213" t="s">
        <v>25</v>
      </c>
      <c r="F213" t="s">
        <v>38</v>
      </c>
      <c r="G213" t="s">
        <v>39</v>
      </c>
      <c r="H213" t="s">
        <v>34</v>
      </c>
      <c r="I213">
        <v>16</v>
      </c>
      <c r="J213">
        <v>869.68</v>
      </c>
      <c r="K213">
        <v>13914.88</v>
      </c>
      <c r="L213" t="s">
        <v>22</v>
      </c>
      <c r="M213" t="s">
        <v>22</v>
      </c>
      <c r="N213" s="1">
        <v>46203</v>
      </c>
      <c r="O213">
        <v>13914.88</v>
      </c>
    </row>
    <row r="214" spans="1:15" x14ac:dyDescent="0.3">
      <c r="A214" t="s">
        <v>256</v>
      </c>
      <c r="B214" s="1">
        <v>45730</v>
      </c>
      <c r="C214" t="s">
        <v>220</v>
      </c>
      <c r="D214" t="s">
        <v>24</v>
      </c>
      <c r="E214" t="s">
        <v>25</v>
      </c>
      <c r="F214" t="s">
        <v>19</v>
      </c>
      <c r="G214" t="s">
        <v>39</v>
      </c>
      <c r="H214" t="s">
        <v>45</v>
      </c>
      <c r="I214">
        <v>8</v>
      </c>
      <c r="J214">
        <v>821.2</v>
      </c>
      <c r="K214">
        <v>6569.6</v>
      </c>
      <c r="L214" t="s">
        <v>30</v>
      </c>
      <c r="M214" t="s">
        <v>31</v>
      </c>
      <c r="N214" s="1">
        <v>45985</v>
      </c>
      <c r="O214">
        <v>6569.6</v>
      </c>
    </row>
    <row r="215" spans="1:15" x14ac:dyDescent="0.3">
      <c r="A215" t="s">
        <v>257</v>
      </c>
      <c r="B215" s="1">
        <v>45731</v>
      </c>
      <c r="C215" t="s">
        <v>220</v>
      </c>
      <c r="D215" t="s">
        <v>49</v>
      </c>
      <c r="E215" t="s">
        <v>18</v>
      </c>
      <c r="F215" t="s">
        <v>29</v>
      </c>
      <c r="G215" t="s">
        <v>39</v>
      </c>
      <c r="H215" t="s">
        <v>40</v>
      </c>
      <c r="I215">
        <v>16</v>
      </c>
      <c r="J215">
        <v>484.87</v>
      </c>
      <c r="K215">
        <v>7757.92</v>
      </c>
      <c r="L215" t="s">
        <v>22</v>
      </c>
      <c r="M215" t="s">
        <v>22</v>
      </c>
      <c r="N215" s="1">
        <v>46203</v>
      </c>
      <c r="O215">
        <v>7757.92</v>
      </c>
    </row>
    <row r="216" spans="1:15" x14ac:dyDescent="0.3">
      <c r="A216" t="s">
        <v>258</v>
      </c>
      <c r="B216" s="1">
        <v>45731</v>
      </c>
      <c r="C216" t="s">
        <v>220</v>
      </c>
      <c r="D216" t="s">
        <v>17</v>
      </c>
      <c r="E216" t="s">
        <v>28</v>
      </c>
      <c r="F216" t="s">
        <v>29</v>
      </c>
      <c r="G216" t="s">
        <v>39</v>
      </c>
      <c r="H216" t="s">
        <v>40</v>
      </c>
      <c r="I216">
        <v>9</v>
      </c>
      <c r="J216">
        <v>1615.57</v>
      </c>
      <c r="K216">
        <v>14540.13</v>
      </c>
      <c r="L216" t="s">
        <v>30</v>
      </c>
      <c r="M216" t="s">
        <v>31</v>
      </c>
      <c r="N216" s="1">
        <v>46007</v>
      </c>
      <c r="O216">
        <v>14540.13</v>
      </c>
    </row>
    <row r="217" spans="1:15" x14ac:dyDescent="0.3">
      <c r="A217" t="s">
        <v>259</v>
      </c>
      <c r="B217" s="1">
        <v>45731</v>
      </c>
      <c r="C217" t="s">
        <v>220</v>
      </c>
      <c r="D217" t="s">
        <v>24</v>
      </c>
      <c r="E217" t="s">
        <v>18</v>
      </c>
      <c r="F217" t="s">
        <v>29</v>
      </c>
      <c r="G217" t="s">
        <v>20</v>
      </c>
      <c r="H217" t="s">
        <v>21</v>
      </c>
      <c r="I217">
        <v>16</v>
      </c>
      <c r="J217">
        <v>894.21</v>
      </c>
      <c r="K217">
        <v>14307.36</v>
      </c>
      <c r="L217" t="s">
        <v>22</v>
      </c>
      <c r="M217" t="s">
        <v>22</v>
      </c>
      <c r="N217" s="1">
        <v>46203</v>
      </c>
      <c r="O217">
        <v>14307.36</v>
      </c>
    </row>
    <row r="218" spans="1:15" x14ac:dyDescent="0.3">
      <c r="A218" t="s">
        <v>260</v>
      </c>
      <c r="B218" s="1">
        <v>45731</v>
      </c>
      <c r="C218" t="s">
        <v>220</v>
      </c>
      <c r="D218" t="s">
        <v>17</v>
      </c>
      <c r="E218" t="s">
        <v>25</v>
      </c>
      <c r="F218" t="s">
        <v>33</v>
      </c>
      <c r="G218" t="s">
        <v>39</v>
      </c>
      <c r="H218" t="s">
        <v>45</v>
      </c>
      <c r="I218">
        <v>16</v>
      </c>
      <c r="J218">
        <v>1364.57</v>
      </c>
      <c r="K218">
        <v>21833.119999999999</v>
      </c>
      <c r="L218" t="s">
        <v>22</v>
      </c>
      <c r="M218" t="s">
        <v>22</v>
      </c>
      <c r="N218" s="1">
        <v>46203</v>
      </c>
      <c r="O218">
        <v>21833.119999999999</v>
      </c>
    </row>
    <row r="219" spans="1:15" x14ac:dyDescent="0.3">
      <c r="A219" t="s">
        <v>261</v>
      </c>
      <c r="B219" s="1">
        <v>45731</v>
      </c>
      <c r="C219" t="s">
        <v>220</v>
      </c>
      <c r="D219" t="s">
        <v>49</v>
      </c>
      <c r="E219" t="s">
        <v>28</v>
      </c>
      <c r="F219" t="s">
        <v>19</v>
      </c>
      <c r="G219" t="s">
        <v>39</v>
      </c>
      <c r="H219" t="s">
        <v>21</v>
      </c>
      <c r="I219">
        <v>16</v>
      </c>
      <c r="J219">
        <v>506.04</v>
      </c>
      <c r="K219">
        <v>8096.64</v>
      </c>
      <c r="L219" t="s">
        <v>22</v>
      </c>
      <c r="M219" t="s">
        <v>22</v>
      </c>
      <c r="N219" s="1">
        <v>46203</v>
      </c>
      <c r="O219">
        <v>8096.64</v>
      </c>
    </row>
    <row r="220" spans="1:15" x14ac:dyDescent="0.3">
      <c r="A220" t="s">
        <v>262</v>
      </c>
      <c r="B220" s="1">
        <v>45731</v>
      </c>
      <c r="C220" t="s">
        <v>220</v>
      </c>
      <c r="D220" t="s">
        <v>24</v>
      </c>
      <c r="E220" t="s">
        <v>25</v>
      </c>
      <c r="F220" t="s">
        <v>19</v>
      </c>
      <c r="G220" t="s">
        <v>20</v>
      </c>
      <c r="H220" t="s">
        <v>34</v>
      </c>
      <c r="I220">
        <v>16</v>
      </c>
      <c r="J220">
        <v>950.42</v>
      </c>
      <c r="K220">
        <v>15206.72</v>
      </c>
      <c r="L220" t="s">
        <v>22</v>
      </c>
      <c r="M220" t="s">
        <v>22</v>
      </c>
      <c r="N220" s="1">
        <v>46203</v>
      </c>
      <c r="O220">
        <v>15206.72</v>
      </c>
    </row>
    <row r="221" spans="1:15" x14ac:dyDescent="0.3">
      <c r="A221" t="s">
        <v>263</v>
      </c>
      <c r="B221" s="1">
        <v>45734</v>
      </c>
      <c r="C221" t="s">
        <v>220</v>
      </c>
      <c r="D221" t="s">
        <v>49</v>
      </c>
      <c r="E221" t="s">
        <v>18</v>
      </c>
      <c r="F221" t="s">
        <v>29</v>
      </c>
      <c r="G221" t="s">
        <v>39</v>
      </c>
      <c r="H221" t="s">
        <v>34</v>
      </c>
      <c r="I221">
        <v>15</v>
      </c>
      <c r="J221">
        <v>484.24</v>
      </c>
      <c r="K221">
        <v>7263.6</v>
      </c>
      <c r="L221" t="s">
        <v>22</v>
      </c>
      <c r="M221" t="s">
        <v>22</v>
      </c>
      <c r="N221" s="1">
        <v>46203</v>
      </c>
      <c r="O221">
        <v>7263.6</v>
      </c>
    </row>
    <row r="222" spans="1:15" x14ac:dyDescent="0.3">
      <c r="A222" t="s">
        <v>264</v>
      </c>
      <c r="B222" s="1">
        <v>45736</v>
      </c>
      <c r="C222" t="s">
        <v>220</v>
      </c>
      <c r="D222" t="s">
        <v>17</v>
      </c>
      <c r="E222" t="s">
        <v>25</v>
      </c>
      <c r="F222" t="s">
        <v>38</v>
      </c>
      <c r="G222" t="s">
        <v>39</v>
      </c>
      <c r="H222" t="s">
        <v>21</v>
      </c>
      <c r="I222">
        <v>15</v>
      </c>
      <c r="J222">
        <v>1588.03</v>
      </c>
      <c r="K222">
        <v>23820.45</v>
      </c>
      <c r="L222" t="s">
        <v>22</v>
      </c>
      <c r="M222" t="s">
        <v>22</v>
      </c>
      <c r="N222" s="1">
        <v>46203</v>
      </c>
      <c r="O222">
        <v>23820.45</v>
      </c>
    </row>
    <row r="223" spans="1:15" x14ac:dyDescent="0.3">
      <c r="A223" t="s">
        <v>265</v>
      </c>
      <c r="B223" s="1">
        <v>45737</v>
      </c>
      <c r="C223" t="s">
        <v>220</v>
      </c>
      <c r="D223" t="s">
        <v>17</v>
      </c>
      <c r="E223" t="s">
        <v>18</v>
      </c>
      <c r="F223" t="s">
        <v>19</v>
      </c>
      <c r="G223" t="s">
        <v>39</v>
      </c>
      <c r="H223" t="s">
        <v>21</v>
      </c>
      <c r="I223">
        <v>15</v>
      </c>
      <c r="J223">
        <v>1349.82</v>
      </c>
      <c r="K223">
        <v>20247.3</v>
      </c>
      <c r="L223" t="s">
        <v>22</v>
      </c>
      <c r="M223" t="s">
        <v>22</v>
      </c>
      <c r="N223" s="1">
        <v>46203</v>
      </c>
      <c r="O223">
        <v>20247.3</v>
      </c>
    </row>
    <row r="224" spans="1:15" x14ac:dyDescent="0.3">
      <c r="A224" t="s">
        <v>266</v>
      </c>
      <c r="B224" s="1">
        <v>45737</v>
      </c>
      <c r="C224" t="s">
        <v>220</v>
      </c>
      <c r="D224" t="s">
        <v>49</v>
      </c>
      <c r="E224" t="s">
        <v>28</v>
      </c>
      <c r="F224" t="s">
        <v>29</v>
      </c>
      <c r="G224" t="s">
        <v>26</v>
      </c>
      <c r="H224" t="s">
        <v>34</v>
      </c>
      <c r="I224">
        <v>15</v>
      </c>
      <c r="J224">
        <v>475.71</v>
      </c>
      <c r="K224">
        <v>7135.65</v>
      </c>
      <c r="L224" t="s">
        <v>22</v>
      </c>
      <c r="M224" t="s">
        <v>22</v>
      </c>
      <c r="N224" s="1">
        <v>46203</v>
      </c>
      <c r="O224">
        <v>7135.65</v>
      </c>
    </row>
    <row r="225" spans="1:15" x14ac:dyDescent="0.3">
      <c r="A225" t="s">
        <v>267</v>
      </c>
      <c r="B225" s="1">
        <v>45739</v>
      </c>
      <c r="C225" t="s">
        <v>220</v>
      </c>
      <c r="D225" t="s">
        <v>24</v>
      </c>
      <c r="E225" t="s">
        <v>50</v>
      </c>
      <c r="F225" t="s">
        <v>29</v>
      </c>
      <c r="G225" t="s">
        <v>20</v>
      </c>
      <c r="H225" t="s">
        <v>21</v>
      </c>
      <c r="I225">
        <v>14</v>
      </c>
      <c r="J225">
        <v>925.25</v>
      </c>
      <c r="K225">
        <v>12953.5</v>
      </c>
      <c r="L225" t="s">
        <v>30</v>
      </c>
      <c r="M225" t="s">
        <v>31</v>
      </c>
      <c r="N225" s="1">
        <v>46154</v>
      </c>
      <c r="O225">
        <v>12953.5</v>
      </c>
    </row>
    <row r="226" spans="1:15" x14ac:dyDescent="0.3">
      <c r="A226" t="s">
        <v>268</v>
      </c>
      <c r="B226" s="1">
        <v>45740</v>
      </c>
      <c r="C226" t="s">
        <v>220</v>
      </c>
      <c r="D226" t="s">
        <v>24</v>
      </c>
      <c r="E226" t="s">
        <v>25</v>
      </c>
      <c r="F226" t="s">
        <v>29</v>
      </c>
      <c r="G226" t="s">
        <v>20</v>
      </c>
      <c r="H226" t="s">
        <v>21</v>
      </c>
      <c r="I226">
        <v>15</v>
      </c>
      <c r="J226">
        <v>817.27</v>
      </c>
      <c r="K226">
        <v>12259.05</v>
      </c>
      <c r="L226" t="s">
        <v>22</v>
      </c>
      <c r="M226" t="s">
        <v>22</v>
      </c>
      <c r="N226" s="1">
        <v>46203</v>
      </c>
      <c r="O226">
        <v>12259.05</v>
      </c>
    </row>
    <row r="227" spans="1:15" x14ac:dyDescent="0.3">
      <c r="A227" t="s">
        <v>269</v>
      </c>
      <c r="B227" s="1">
        <v>45740</v>
      </c>
      <c r="C227" t="s">
        <v>220</v>
      </c>
      <c r="D227" t="s">
        <v>24</v>
      </c>
      <c r="E227" t="s">
        <v>18</v>
      </c>
      <c r="F227" t="s">
        <v>38</v>
      </c>
      <c r="G227" t="s">
        <v>39</v>
      </c>
      <c r="H227" t="s">
        <v>21</v>
      </c>
      <c r="I227">
        <v>15</v>
      </c>
      <c r="J227">
        <v>930.78</v>
      </c>
      <c r="K227">
        <v>13961.7</v>
      </c>
      <c r="L227" t="s">
        <v>22</v>
      </c>
      <c r="M227" t="s">
        <v>22</v>
      </c>
      <c r="N227" s="1">
        <v>46203</v>
      </c>
      <c r="O227">
        <v>13961.7</v>
      </c>
    </row>
    <row r="228" spans="1:15" x14ac:dyDescent="0.3">
      <c r="A228" t="s">
        <v>270</v>
      </c>
      <c r="B228" s="1">
        <v>45740</v>
      </c>
      <c r="C228" t="s">
        <v>220</v>
      </c>
      <c r="D228" t="s">
        <v>24</v>
      </c>
      <c r="E228" t="s">
        <v>25</v>
      </c>
      <c r="F228" t="s">
        <v>19</v>
      </c>
      <c r="G228" t="s">
        <v>39</v>
      </c>
      <c r="H228" t="s">
        <v>21</v>
      </c>
      <c r="I228">
        <v>15</v>
      </c>
      <c r="J228">
        <v>960.39</v>
      </c>
      <c r="K228">
        <v>14405.85</v>
      </c>
      <c r="L228" t="s">
        <v>22</v>
      </c>
      <c r="M228" t="s">
        <v>22</v>
      </c>
      <c r="N228" s="1">
        <v>46203</v>
      </c>
      <c r="O228">
        <v>14405.85</v>
      </c>
    </row>
    <row r="229" spans="1:15" x14ac:dyDescent="0.3">
      <c r="A229" t="s">
        <v>271</v>
      </c>
      <c r="B229" s="1">
        <v>45741</v>
      </c>
      <c r="C229" t="s">
        <v>220</v>
      </c>
      <c r="D229" t="s">
        <v>17</v>
      </c>
      <c r="E229" t="s">
        <v>25</v>
      </c>
      <c r="F229" t="s">
        <v>33</v>
      </c>
      <c r="G229" t="s">
        <v>39</v>
      </c>
      <c r="H229" t="s">
        <v>40</v>
      </c>
      <c r="I229">
        <v>15</v>
      </c>
      <c r="J229">
        <v>1380.52</v>
      </c>
      <c r="K229">
        <v>20707.8</v>
      </c>
      <c r="L229" t="s">
        <v>22</v>
      </c>
      <c r="M229" t="s">
        <v>22</v>
      </c>
      <c r="N229" s="1">
        <v>46203</v>
      </c>
      <c r="O229">
        <v>20707.8</v>
      </c>
    </row>
    <row r="230" spans="1:15" x14ac:dyDescent="0.3">
      <c r="A230" t="s">
        <v>272</v>
      </c>
      <c r="B230" s="1">
        <v>45741</v>
      </c>
      <c r="C230" t="s">
        <v>220</v>
      </c>
      <c r="D230" t="s">
        <v>24</v>
      </c>
      <c r="E230" t="s">
        <v>28</v>
      </c>
      <c r="F230" t="s">
        <v>29</v>
      </c>
      <c r="G230" t="s">
        <v>39</v>
      </c>
      <c r="H230" t="s">
        <v>40</v>
      </c>
      <c r="I230">
        <v>15</v>
      </c>
      <c r="J230">
        <v>896.61</v>
      </c>
      <c r="K230">
        <v>13449.15</v>
      </c>
      <c r="L230" t="s">
        <v>22</v>
      </c>
      <c r="M230" t="s">
        <v>22</v>
      </c>
      <c r="N230" s="1">
        <v>46203</v>
      </c>
      <c r="O230">
        <v>13449.15</v>
      </c>
    </row>
    <row r="231" spans="1:15" x14ac:dyDescent="0.3">
      <c r="A231" t="s">
        <v>273</v>
      </c>
      <c r="B231" s="1">
        <v>45742</v>
      </c>
      <c r="C231" t="s">
        <v>220</v>
      </c>
      <c r="D231" t="s">
        <v>17</v>
      </c>
      <c r="E231" t="s">
        <v>50</v>
      </c>
      <c r="F231" t="s">
        <v>29</v>
      </c>
      <c r="G231" t="s">
        <v>39</v>
      </c>
      <c r="H231" t="s">
        <v>21</v>
      </c>
      <c r="I231">
        <v>15</v>
      </c>
      <c r="J231">
        <v>1458.88</v>
      </c>
      <c r="K231">
        <v>21883.200000000001</v>
      </c>
      <c r="L231" t="s">
        <v>22</v>
      </c>
      <c r="M231" t="s">
        <v>22</v>
      </c>
      <c r="N231" s="1">
        <v>46203</v>
      </c>
      <c r="O231">
        <v>21883.200000000001</v>
      </c>
    </row>
    <row r="232" spans="1:15" x14ac:dyDescent="0.3">
      <c r="A232" t="s">
        <v>274</v>
      </c>
      <c r="B232" s="1">
        <v>45742</v>
      </c>
      <c r="C232" t="s">
        <v>220</v>
      </c>
      <c r="D232" t="s">
        <v>49</v>
      </c>
      <c r="E232" t="s">
        <v>25</v>
      </c>
      <c r="F232" t="s">
        <v>38</v>
      </c>
      <c r="G232" t="s">
        <v>39</v>
      </c>
      <c r="H232" t="s">
        <v>21</v>
      </c>
      <c r="I232">
        <v>15</v>
      </c>
      <c r="J232">
        <v>464.91</v>
      </c>
      <c r="K232">
        <v>6973.65</v>
      </c>
      <c r="L232" t="s">
        <v>22</v>
      </c>
      <c r="M232" t="s">
        <v>22</v>
      </c>
      <c r="N232" s="1">
        <v>46203</v>
      </c>
      <c r="O232">
        <v>6973.65</v>
      </c>
    </row>
    <row r="233" spans="1:15" x14ac:dyDescent="0.3">
      <c r="A233" t="s">
        <v>275</v>
      </c>
      <c r="B233" s="1">
        <v>45742</v>
      </c>
      <c r="C233" t="s">
        <v>220</v>
      </c>
      <c r="D233" t="s">
        <v>24</v>
      </c>
      <c r="E233" t="s">
        <v>28</v>
      </c>
      <c r="F233" t="s">
        <v>29</v>
      </c>
      <c r="G233" t="s">
        <v>39</v>
      </c>
      <c r="H233" t="s">
        <v>21</v>
      </c>
      <c r="I233">
        <v>15</v>
      </c>
      <c r="J233">
        <v>866.25</v>
      </c>
      <c r="K233">
        <v>12993.75</v>
      </c>
      <c r="L233" t="s">
        <v>22</v>
      </c>
      <c r="M233" t="s">
        <v>22</v>
      </c>
      <c r="N233" s="1">
        <v>46203</v>
      </c>
      <c r="O233">
        <v>12993.75</v>
      </c>
    </row>
    <row r="234" spans="1:15" x14ac:dyDescent="0.3">
      <c r="A234" t="s">
        <v>276</v>
      </c>
      <c r="B234" s="1">
        <v>45743</v>
      </c>
      <c r="C234" t="s">
        <v>220</v>
      </c>
      <c r="D234" t="s">
        <v>24</v>
      </c>
      <c r="E234" t="s">
        <v>25</v>
      </c>
      <c r="F234" t="s">
        <v>38</v>
      </c>
      <c r="G234" t="s">
        <v>39</v>
      </c>
      <c r="H234" t="s">
        <v>21</v>
      </c>
      <c r="I234">
        <v>7</v>
      </c>
      <c r="J234">
        <v>981.15</v>
      </c>
      <c r="K234">
        <v>6868.05</v>
      </c>
      <c r="L234" t="s">
        <v>30</v>
      </c>
      <c r="M234" t="s">
        <v>31</v>
      </c>
      <c r="N234" s="1">
        <v>45970</v>
      </c>
      <c r="O234">
        <v>6868.05</v>
      </c>
    </row>
    <row r="235" spans="1:15" x14ac:dyDescent="0.3">
      <c r="A235" t="s">
        <v>277</v>
      </c>
      <c r="B235" s="1">
        <v>45743</v>
      </c>
      <c r="C235" t="s">
        <v>220</v>
      </c>
      <c r="D235" t="s">
        <v>24</v>
      </c>
      <c r="E235" t="s">
        <v>18</v>
      </c>
      <c r="F235" t="s">
        <v>38</v>
      </c>
      <c r="G235" t="s">
        <v>39</v>
      </c>
      <c r="H235" t="s">
        <v>21</v>
      </c>
      <c r="I235">
        <v>7</v>
      </c>
      <c r="J235">
        <v>823.71</v>
      </c>
      <c r="K235">
        <v>5765.97</v>
      </c>
      <c r="L235" t="s">
        <v>30</v>
      </c>
      <c r="M235" t="s">
        <v>41</v>
      </c>
      <c r="N235" s="1">
        <v>45963</v>
      </c>
      <c r="O235">
        <v>5765.97</v>
      </c>
    </row>
    <row r="236" spans="1:15" x14ac:dyDescent="0.3">
      <c r="A236" t="s">
        <v>278</v>
      </c>
      <c r="B236" s="1">
        <v>45744</v>
      </c>
      <c r="C236" t="s">
        <v>220</v>
      </c>
      <c r="D236" t="s">
        <v>24</v>
      </c>
      <c r="E236" t="s">
        <v>28</v>
      </c>
      <c r="F236" t="s">
        <v>29</v>
      </c>
      <c r="G236" t="s">
        <v>39</v>
      </c>
      <c r="H236" t="s">
        <v>21</v>
      </c>
      <c r="I236">
        <v>9</v>
      </c>
      <c r="J236">
        <v>932.57</v>
      </c>
      <c r="K236">
        <v>8393.1299999999992</v>
      </c>
      <c r="L236" t="s">
        <v>30</v>
      </c>
      <c r="M236" t="s">
        <v>43</v>
      </c>
      <c r="N236" s="1">
        <v>46010</v>
      </c>
      <c r="O236">
        <v>8393.1299999999992</v>
      </c>
    </row>
    <row r="237" spans="1:15" x14ac:dyDescent="0.3">
      <c r="A237" t="s">
        <v>279</v>
      </c>
      <c r="B237" s="1">
        <v>45744</v>
      </c>
      <c r="C237" t="s">
        <v>220</v>
      </c>
      <c r="D237" t="s">
        <v>24</v>
      </c>
      <c r="E237" t="s">
        <v>18</v>
      </c>
      <c r="F237" t="s">
        <v>38</v>
      </c>
      <c r="G237" t="s">
        <v>39</v>
      </c>
      <c r="H237" t="s">
        <v>21</v>
      </c>
      <c r="I237">
        <v>15</v>
      </c>
      <c r="J237">
        <v>963.23</v>
      </c>
      <c r="K237">
        <v>14448.45</v>
      </c>
      <c r="L237" t="s">
        <v>22</v>
      </c>
      <c r="M237" t="s">
        <v>22</v>
      </c>
      <c r="N237" s="1">
        <v>46203</v>
      </c>
      <c r="O237">
        <v>14448.45</v>
      </c>
    </row>
    <row r="238" spans="1:15" x14ac:dyDescent="0.3">
      <c r="A238" t="s">
        <v>280</v>
      </c>
      <c r="B238" s="1">
        <v>45744</v>
      </c>
      <c r="C238" t="s">
        <v>220</v>
      </c>
      <c r="D238" t="s">
        <v>24</v>
      </c>
      <c r="E238" t="s">
        <v>50</v>
      </c>
      <c r="F238" t="s">
        <v>29</v>
      </c>
      <c r="G238" t="s">
        <v>26</v>
      </c>
      <c r="H238" t="s">
        <v>21</v>
      </c>
      <c r="I238">
        <v>15</v>
      </c>
      <c r="J238">
        <v>844.25</v>
      </c>
      <c r="K238">
        <v>12663.75</v>
      </c>
      <c r="L238" t="s">
        <v>22</v>
      </c>
      <c r="M238" t="s">
        <v>22</v>
      </c>
      <c r="N238" s="1">
        <v>46203</v>
      </c>
      <c r="O238">
        <v>12663.75</v>
      </c>
    </row>
    <row r="239" spans="1:15" x14ac:dyDescent="0.3">
      <c r="A239" t="s">
        <v>281</v>
      </c>
      <c r="B239" s="1">
        <v>45744</v>
      </c>
      <c r="C239" t="s">
        <v>220</v>
      </c>
      <c r="D239" t="s">
        <v>17</v>
      </c>
      <c r="E239" t="s">
        <v>50</v>
      </c>
      <c r="F239" t="s">
        <v>29</v>
      </c>
      <c r="G239" t="s">
        <v>20</v>
      </c>
      <c r="H239" t="s">
        <v>40</v>
      </c>
      <c r="I239">
        <v>15</v>
      </c>
      <c r="J239">
        <v>1609.93</v>
      </c>
      <c r="K239">
        <v>24148.95</v>
      </c>
      <c r="L239" t="s">
        <v>22</v>
      </c>
      <c r="M239" t="s">
        <v>22</v>
      </c>
      <c r="N239" s="1">
        <v>46203</v>
      </c>
      <c r="O239">
        <v>24148.95</v>
      </c>
    </row>
    <row r="240" spans="1:15" x14ac:dyDescent="0.3">
      <c r="A240" t="s">
        <v>282</v>
      </c>
      <c r="B240" s="1">
        <v>45745</v>
      </c>
      <c r="C240" t="s">
        <v>220</v>
      </c>
      <c r="D240" t="s">
        <v>49</v>
      </c>
      <c r="E240" t="s">
        <v>28</v>
      </c>
      <c r="F240" t="s">
        <v>29</v>
      </c>
      <c r="G240" t="s">
        <v>39</v>
      </c>
      <c r="H240" t="s">
        <v>40</v>
      </c>
      <c r="I240">
        <v>15</v>
      </c>
      <c r="J240">
        <v>492.33</v>
      </c>
      <c r="K240">
        <v>7384.95</v>
      </c>
      <c r="L240" t="s">
        <v>22</v>
      </c>
      <c r="M240" t="s">
        <v>22</v>
      </c>
      <c r="N240" s="1">
        <v>46203</v>
      </c>
      <c r="O240">
        <v>7384.95</v>
      </c>
    </row>
    <row r="241" spans="1:15" x14ac:dyDescent="0.3">
      <c r="A241" t="s">
        <v>283</v>
      </c>
      <c r="B241" s="1">
        <v>45745</v>
      </c>
      <c r="C241" t="s">
        <v>220</v>
      </c>
      <c r="D241" t="s">
        <v>24</v>
      </c>
      <c r="E241" t="s">
        <v>25</v>
      </c>
      <c r="F241" t="s">
        <v>33</v>
      </c>
      <c r="G241" t="s">
        <v>20</v>
      </c>
      <c r="H241" t="s">
        <v>40</v>
      </c>
      <c r="I241">
        <v>15</v>
      </c>
      <c r="J241">
        <v>973.66</v>
      </c>
      <c r="K241">
        <v>14604.9</v>
      </c>
      <c r="L241" t="s">
        <v>22</v>
      </c>
      <c r="M241" t="s">
        <v>22</v>
      </c>
      <c r="N241" s="1">
        <v>46203</v>
      </c>
      <c r="O241">
        <v>14604.9</v>
      </c>
    </row>
    <row r="242" spans="1:15" x14ac:dyDescent="0.3">
      <c r="A242" t="s">
        <v>284</v>
      </c>
      <c r="B242" s="1">
        <v>45745</v>
      </c>
      <c r="C242" t="s">
        <v>220</v>
      </c>
      <c r="D242" t="s">
        <v>49</v>
      </c>
      <c r="E242" t="s">
        <v>28</v>
      </c>
      <c r="F242" t="s">
        <v>38</v>
      </c>
      <c r="G242" t="s">
        <v>20</v>
      </c>
      <c r="H242" t="s">
        <v>21</v>
      </c>
      <c r="I242">
        <v>15</v>
      </c>
      <c r="J242">
        <v>510.6</v>
      </c>
      <c r="K242">
        <v>7659</v>
      </c>
      <c r="L242" t="s">
        <v>22</v>
      </c>
      <c r="M242" t="s">
        <v>22</v>
      </c>
      <c r="N242" s="1">
        <v>46203</v>
      </c>
      <c r="O242">
        <v>7659</v>
      </c>
    </row>
    <row r="243" spans="1:15" x14ac:dyDescent="0.3">
      <c r="A243" t="s">
        <v>285</v>
      </c>
      <c r="B243" s="1">
        <v>45745</v>
      </c>
      <c r="C243" t="s">
        <v>220</v>
      </c>
      <c r="D243" t="s">
        <v>24</v>
      </c>
      <c r="E243" t="s">
        <v>25</v>
      </c>
      <c r="F243" t="s">
        <v>29</v>
      </c>
      <c r="G243" t="s">
        <v>26</v>
      </c>
      <c r="H243" t="s">
        <v>34</v>
      </c>
      <c r="I243">
        <v>15</v>
      </c>
      <c r="J243">
        <v>981.28</v>
      </c>
      <c r="K243">
        <v>14719.2</v>
      </c>
      <c r="L243" t="s">
        <v>22</v>
      </c>
      <c r="M243" t="s">
        <v>22</v>
      </c>
      <c r="N243" s="1">
        <v>46203</v>
      </c>
      <c r="O243">
        <v>14719.2</v>
      </c>
    </row>
    <row r="244" spans="1:15" x14ac:dyDescent="0.3">
      <c r="A244" t="s">
        <v>286</v>
      </c>
      <c r="B244" s="1">
        <v>45745</v>
      </c>
      <c r="C244" t="s">
        <v>220</v>
      </c>
      <c r="D244" t="s">
        <v>24</v>
      </c>
      <c r="E244" t="s">
        <v>18</v>
      </c>
      <c r="F244" t="s">
        <v>29</v>
      </c>
      <c r="G244" t="s">
        <v>39</v>
      </c>
      <c r="H244" t="s">
        <v>21</v>
      </c>
      <c r="I244">
        <v>15</v>
      </c>
      <c r="J244">
        <v>981.67</v>
      </c>
      <c r="K244">
        <v>14725.05</v>
      </c>
      <c r="L244" t="s">
        <v>22</v>
      </c>
      <c r="M244" t="s">
        <v>22</v>
      </c>
      <c r="N244" s="1">
        <v>46203</v>
      </c>
      <c r="O244">
        <v>14725.05</v>
      </c>
    </row>
    <row r="245" spans="1:15" x14ac:dyDescent="0.3">
      <c r="A245" t="s">
        <v>287</v>
      </c>
      <c r="B245" s="1">
        <v>45745</v>
      </c>
      <c r="C245" t="s">
        <v>220</v>
      </c>
      <c r="D245" t="s">
        <v>24</v>
      </c>
      <c r="E245" t="s">
        <v>28</v>
      </c>
      <c r="F245" t="s">
        <v>29</v>
      </c>
      <c r="G245" t="s">
        <v>39</v>
      </c>
      <c r="H245" t="s">
        <v>34</v>
      </c>
      <c r="I245">
        <v>15</v>
      </c>
      <c r="J245">
        <v>947.43</v>
      </c>
      <c r="K245">
        <v>14211.45</v>
      </c>
      <c r="L245" t="s">
        <v>22</v>
      </c>
      <c r="M245" t="s">
        <v>22</v>
      </c>
      <c r="N245" s="1">
        <v>46203</v>
      </c>
      <c r="O245">
        <v>14211.45</v>
      </c>
    </row>
    <row r="246" spans="1:15" x14ac:dyDescent="0.3">
      <c r="A246" t="s">
        <v>288</v>
      </c>
      <c r="B246" s="1">
        <v>45747</v>
      </c>
      <c r="C246" t="s">
        <v>220</v>
      </c>
      <c r="D246" t="s">
        <v>17</v>
      </c>
      <c r="E246" t="s">
        <v>25</v>
      </c>
      <c r="F246" t="s">
        <v>29</v>
      </c>
      <c r="G246" t="s">
        <v>39</v>
      </c>
      <c r="H246" t="s">
        <v>21</v>
      </c>
      <c r="I246">
        <v>1</v>
      </c>
      <c r="J246">
        <v>1355.26</v>
      </c>
      <c r="K246">
        <v>1355.26</v>
      </c>
      <c r="L246" t="s">
        <v>30</v>
      </c>
      <c r="M246" t="s">
        <v>80</v>
      </c>
      <c r="N246" s="1">
        <v>45779</v>
      </c>
      <c r="O246">
        <v>1355.26</v>
      </c>
    </row>
    <row r="247" spans="1:15" x14ac:dyDescent="0.3">
      <c r="A247" t="s">
        <v>289</v>
      </c>
      <c r="B247" s="1">
        <v>45747</v>
      </c>
      <c r="C247" t="s">
        <v>220</v>
      </c>
      <c r="D247" t="s">
        <v>49</v>
      </c>
      <c r="E247" t="s">
        <v>18</v>
      </c>
      <c r="F247" t="s">
        <v>33</v>
      </c>
      <c r="G247" t="s">
        <v>39</v>
      </c>
      <c r="H247" t="s">
        <v>40</v>
      </c>
      <c r="I247">
        <v>15</v>
      </c>
      <c r="J247">
        <v>501.36</v>
      </c>
      <c r="K247">
        <v>7520.4</v>
      </c>
      <c r="L247" t="s">
        <v>22</v>
      </c>
      <c r="M247" t="s">
        <v>22</v>
      </c>
      <c r="N247" s="1">
        <v>46203</v>
      </c>
      <c r="O247">
        <v>7520.4</v>
      </c>
    </row>
    <row r="248" spans="1:15" x14ac:dyDescent="0.3">
      <c r="A248" t="s">
        <v>290</v>
      </c>
      <c r="B248" s="1">
        <v>45747</v>
      </c>
      <c r="C248" t="s">
        <v>220</v>
      </c>
      <c r="D248" t="s">
        <v>24</v>
      </c>
      <c r="E248" t="s">
        <v>28</v>
      </c>
      <c r="F248" t="s">
        <v>51</v>
      </c>
      <c r="G248" t="s">
        <v>39</v>
      </c>
      <c r="H248" t="s">
        <v>34</v>
      </c>
      <c r="I248">
        <v>7</v>
      </c>
      <c r="J248">
        <v>887.64</v>
      </c>
      <c r="K248">
        <v>6213.48</v>
      </c>
      <c r="L248" t="s">
        <v>30</v>
      </c>
      <c r="M248" t="s">
        <v>31</v>
      </c>
      <c r="N248" s="1">
        <v>45955</v>
      </c>
      <c r="O248">
        <v>6213.48</v>
      </c>
    </row>
    <row r="249" spans="1:15" x14ac:dyDescent="0.3">
      <c r="A249" t="s">
        <v>291</v>
      </c>
      <c r="B249" s="1">
        <v>45747</v>
      </c>
      <c r="C249" t="s">
        <v>220</v>
      </c>
      <c r="D249" t="s">
        <v>24</v>
      </c>
      <c r="E249" t="s">
        <v>28</v>
      </c>
      <c r="F249" t="s">
        <v>19</v>
      </c>
      <c r="G249" t="s">
        <v>26</v>
      </c>
      <c r="H249" t="s">
        <v>40</v>
      </c>
      <c r="I249">
        <v>15</v>
      </c>
      <c r="J249">
        <v>868.11</v>
      </c>
      <c r="K249">
        <v>13021.65</v>
      </c>
      <c r="L249" t="s">
        <v>22</v>
      </c>
      <c r="M249" t="s">
        <v>22</v>
      </c>
      <c r="N249" s="1">
        <v>46203</v>
      </c>
      <c r="O249">
        <v>13021.65</v>
      </c>
    </row>
    <row r="250" spans="1:15" x14ac:dyDescent="0.3">
      <c r="A250" t="s">
        <v>292</v>
      </c>
      <c r="B250" s="1">
        <v>45747</v>
      </c>
      <c r="C250" t="s">
        <v>220</v>
      </c>
      <c r="D250" t="s">
        <v>49</v>
      </c>
      <c r="E250" t="s">
        <v>50</v>
      </c>
      <c r="F250" t="s">
        <v>38</v>
      </c>
      <c r="G250" t="s">
        <v>39</v>
      </c>
      <c r="H250" t="s">
        <v>40</v>
      </c>
      <c r="I250">
        <v>3</v>
      </c>
      <c r="J250">
        <v>509.54</v>
      </c>
      <c r="K250">
        <v>1528.62</v>
      </c>
      <c r="L250" t="s">
        <v>30</v>
      </c>
      <c r="M250" t="s">
        <v>41</v>
      </c>
      <c r="N250" s="1">
        <v>45825</v>
      </c>
      <c r="O250">
        <v>1528.62</v>
      </c>
    </row>
    <row r="251" spans="1:15" x14ac:dyDescent="0.3">
      <c r="A251" t="s">
        <v>293</v>
      </c>
      <c r="B251" s="1">
        <v>45748</v>
      </c>
      <c r="C251" t="s">
        <v>294</v>
      </c>
      <c r="D251" t="s">
        <v>24</v>
      </c>
      <c r="E251" t="s">
        <v>50</v>
      </c>
      <c r="F251" t="s">
        <v>33</v>
      </c>
      <c r="G251" t="s">
        <v>39</v>
      </c>
      <c r="H251" t="s">
        <v>45</v>
      </c>
      <c r="I251">
        <v>15</v>
      </c>
      <c r="J251">
        <v>823.51</v>
      </c>
      <c r="K251">
        <v>12352.65</v>
      </c>
      <c r="L251" t="s">
        <v>22</v>
      </c>
      <c r="M251" t="s">
        <v>22</v>
      </c>
      <c r="N251" s="1">
        <v>46203</v>
      </c>
      <c r="O251">
        <v>12352.65</v>
      </c>
    </row>
    <row r="252" spans="1:15" x14ac:dyDescent="0.3">
      <c r="A252" t="s">
        <v>295</v>
      </c>
      <c r="B252" s="1">
        <v>45748</v>
      </c>
      <c r="C252" t="s">
        <v>294</v>
      </c>
      <c r="D252" t="s">
        <v>49</v>
      </c>
      <c r="E252" t="s">
        <v>25</v>
      </c>
      <c r="F252" t="s">
        <v>33</v>
      </c>
      <c r="G252" t="s">
        <v>39</v>
      </c>
      <c r="H252" t="s">
        <v>40</v>
      </c>
      <c r="I252">
        <v>5</v>
      </c>
      <c r="J252">
        <v>534.34</v>
      </c>
      <c r="K252">
        <v>2671.7</v>
      </c>
      <c r="L252" t="s">
        <v>30</v>
      </c>
      <c r="M252" t="s">
        <v>41</v>
      </c>
      <c r="N252" s="1">
        <v>45886</v>
      </c>
      <c r="O252">
        <v>2671.7</v>
      </c>
    </row>
    <row r="253" spans="1:15" x14ac:dyDescent="0.3">
      <c r="A253" t="s">
        <v>296</v>
      </c>
      <c r="B253" s="1">
        <v>45749</v>
      </c>
      <c r="C253" t="s">
        <v>294</v>
      </c>
      <c r="D253" t="s">
        <v>49</v>
      </c>
      <c r="E253" t="s">
        <v>25</v>
      </c>
      <c r="F253" t="s">
        <v>33</v>
      </c>
      <c r="G253" t="s">
        <v>39</v>
      </c>
      <c r="H253" t="s">
        <v>40</v>
      </c>
      <c r="I253">
        <v>15</v>
      </c>
      <c r="J253">
        <v>487.69</v>
      </c>
      <c r="K253">
        <v>7315.35</v>
      </c>
      <c r="L253" t="s">
        <v>22</v>
      </c>
      <c r="M253" t="s">
        <v>22</v>
      </c>
      <c r="N253" s="1">
        <v>46203</v>
      </c>
      <c r="O253">
        <v>7315.35</v>
      </c>
    </row>
    <row r="254" spans="1:15" x14ac:dyDescent="0.3">
      <c r="A254" t="s">
        <v>297</v>
      </c>
      <c r="B254" s="1">
        <v>45749</v>
      </c>
      <c r="C254" t="s">
        <v>294</v>
      </c>
      <c r="D254" t="s">
        <v>24</v>
      </c>
      <c r="E254" t="s">
        <v>50</v>
      </c>
      <c r="F254" t="s">
        <v>29</v>
      </c>
      <c r="G254" t="s">
        <v>20</v>
      </c>
      <c r="H254" t="s">
        <v>21</v>
      </c>
      <c r="I254">
        <v>15</v>
      </c>
      <c r="J254">
        <v>849.77</v>
      </c>
      <c r="K254">
        <v>12746.55</v>
      </c>
      <c r="L254" t="s">
        <v>22</v>
      </c>
      <c r="M254" t="s">
        <v>22</v>
      </c>
      <c r="N254" s="1">
        <v>46203</v>
      </c>
      <c r="O254">
        <v>12746.55</v>
      </c>
    </row>
    <row r="255" spans="1:15" x14ac:dyDescent="0.3">
      <c r="A255" t="s">
        <v>298</v>
      </c>
      <c r="B255" s="1">
        <v>45749</v>
      </c>
      <c r="C255" t="s">
        <v>294</v>
      </c>
      <c r="D255" t="s">
        <v>24</v>
      </c>
      <c r="E255" t="s">
        <v>50</v>
      </c>
      <c r="F255" t="s">
        <v>33</v>
      </c>
      <c r="G255" t="s">
        <v>39</v>
      </c>
      <c r="H255" t="s">
        <v>21</v>
      </c>
      <c r="I255">
        <v>10</v>
      </c>
      <c r="J255">
        <v>957.87</v>
      </c>
      <c r="K255">
        <v>9578.7000000000007</v>
      </c>
      <c r="L255" t="s">
        <v>30</v>
      </c>
      <c r="M255" t="s">
        <v>31</v>
      </c>
      <c r="N255" s="1">
        <v>46057</v>
      </c>
      <c r="O255">
        <v>9578.7000000000007</v>
      </c>
    </row>
    <row r="256" spans="1:15" x14ac:dyDescent="0.3">
      <c r="A256" t="s">
        <v>299</v>
      </c>
      <c r="B256" s="1">
        <v>45750</v>
      </c>
      <c r="C256" t="s">
        <v>294</v>
      </c>
      <c r="D256" t="s">
        <v>17</v>
      </c>
      <c r="E256" t="s">
        <v>25</v>
      </c>
      <c r="F256" t="s">
        <v>33</v>
      </c>
      <c r="G256" t="s">
        <v>39</v>
      </c>
      <c r="H256" t="s">
        <v>21</v>
      </c>
      <c r="I256">
        <v>15</v>
      </c>
      <c r="J256">
        <v>1612.33</v>
      </c>
      <c r="K256">
        <v>24184.95</v>
      </c>
      <c r="L256" t="s">
        <v>22</v>
      </c>
      <c r="M256" t="s">
        <v>22</v>
      </c>
      <c r="N256" s="1">
        <v>46203</v>
      </c>
      <c r="O256">
        <v>24184.95</v>
      </c>
    </row>
    <row r="257" spans="1:15" x14ac:dyDescent="0.3">
      <c r="A257" t="s">
        <v>300</v>
      </c>
      <c r="B257" s="1">
        <v>45750</v>
      </c>
      <c r="C257" t="s">
        <v>294</v>
      </c>
      <c r="D257" t="s">
        <v>49</v>
      </c>
      <c r="E257" t="s">
        <v>18</v>
      </c>
      <c r="F257" t="s">
        <v>29</v>
      </c>
      <c r="G257" t="s">
        <v>39</v>
      </c>
      <c r="H257" t="s">
        <v>45</v>
      </c>
      <c r="I257">
        <v>15</v>
      </c>
      <c r="J257">
        <v>490.58</v>
      </c>
      <c r="K257">
        <v>7358.7</v>
      </c>
      <c r="L257" t="s">
        <v>22</v>
      </c>
      <c r="M257" t="s">
        <v>22</v>
      </c>
      <c r="N257" s="1">
        <v>46203</v>
      </c>
      <c r="O257">
        <v>7358.7</v>
      </c>
    </row>
    <row r="258" spans="1:15" x14ac:dyDescent="0.3">
      <c r="A258" t="s">
        <v>301</v>
      </c>
      <c r="B258" s="1">
        <v>45751</v>
      </c>
      <c r="C258" t="s">
        <v>294</v>
      </c>
      <c r="D258" t="s">
        <v>49</v>
      </c>
      <c r="E258" t="s">
        <v>28</v>
      </c>
      <c r="F258" t="s">
        <v>51</v>
      </c>
      <c r="G258" t="s">
        <v>20</v>
      </c>
      <c r="H258" t="s">
        <v>40</v>
      </c>
      <c r="I258">
        <v>15</v>
      </c>
      <c r="J258">
        <v>459.99</v>
      </c>
      <c r="K258">
        <v>6899.85</v>
      </c>
      <c r="L258" t="s">
        <v>22</v>
      </c>
      <c r="M258" t="s">
        <v>22</v>
      </c>
      <c r="N258" s="1">
        <v>46203</v>
      </c>
      <c r="O258">
        <v>6899.85</v>
      </c>
    </row>
    <row r="259" spans="1:15" x14ac:dyDescent="0.3">
      <c r="A259" t="s">
        <v>302</v>
      </c>
      <c r="B259" s="1">
        <v>45751</v>
      </c>
      <c r="C259" t="s">
        <v>294</v>
      </c>
      <c r="D259" t="s">
        <v>17</v>
      </c>
      <c r="E259" t="s">
        <v>28</v>
      </c>
      <c r="F259" t="s">
        <v>19</v>
      </c>
      <c r="G259" t="s">
        <v>39</v>
      </c>
      <c r="H259" t="s">
        <v>21</v>
      </c>
      <c r="I259">
        <v>3</v>
      </c>
      <c r="J259">
        <v>1615.68</v>
      </c>
      <c r="K259">
        <v>4847.04</v>
      </c>
      <c r="L259" t="s">
        <v>30</v>
      </c>
      <c r="M259" t="s">
        <v>41</v>
      </c>
      <c r="N259" s="1">
        <v>45852</v>
      </c>
      <c r="O259">
        <v>4847.04</v>
      </c>
    </row>
    <row r="260" spans="1:15" x14ac:dyDescent="0.3">
      <c r="A260" t="s">
        <v>303</v>
      </c>
      <c r="B260" s="1">
        <v>45753</v>
      </c>
      <c r="C260" t="s">
        <v>294</v>
      </c>
      <c r="D260" t="s">
        <v>17</v>
      </c>
      <c r="E260" t="s">
        <v>18</v>
      </c>
      <c r="F260" t="s">
        <v>51</v>
      </c>
      <c r="G260" t="s">
        <v>20</v>
      </c>
      <c r="H260" t="s">
        <v>34</v>
      </c>
      <c r="I260">
        <v>7</v>
      </c>
      <c r="J260">
        <v>1580.63</v>
      </c>
      <c r="K260">
        <v>11064.41</v>
      </c>
      <c r="L260" t="s">
        <v>30</v>
      </c>
      <c r="M260" t="s">
        <v>36</v>
      </c>
      <c r="N260" s="1">
        <v>45956</v>
      </c>
      <c r="O260">
        <v>11064.41</v>
      </c>
    </row>
    <row r="261" spans="1:15" x14ac:dyDescent="0.3">
      <c r="A261" t="s">
        <v>304</v>
      </c>
      <c r="B261" s="1">
        <v>45753</v>
      </c>
      <c r="C261" t="s">
        <v>294</v>
      </c>
      <c r="D261" t="s">
        <v>24</v>
      </c>
      <c r="E261" t="s">
        <v>28</v>
      </c>
      <c r="F261" t="s">
        <v>33</v>
      </c>
      <c r="G261" t="s">
        <v>39</v>
      </c>
      <c r="H261" t="s">
        <v>21</v>
      </c>
      <c r="I261">
        <v>9</v>
      </c>
      <c r="J261">
        <v>859.63</v>
      </c>
      <c r="K261">
        <v>7736.67</v>
      </c>
      <c r="L261" t="s">
        <v>30</v>
      </c>
      <c r="M261" t="s">
        <v>36</v>
      </c>
      <c r="N261" s="1">
        <v>46016</v>
      </c>
      <c r="O261">
        <v>7736.67</v>
      </c>
    </row>
    <row r="262" spans="1:15" x14ac:dyDescent="0.3">
      <c r="A262" t="s">
        <v>305</v>
      </c>
      <c r="B262" s="1">
        <v>45754</v>
      </c>
      <c r="C262" t="s">
        <v>294</v>
      </c>
      <c r="D262" t="s">
        <v>24</v>
      </c>
      <c r="E262" t="s">
        <v>50</v>
      </c>
      <c r="F262" t="s">
        <v>29</v>
      </c>
      <c r="G262" t="s">
        <v>39</v>
      </c>
      <c r="H262" t="s">
        <v>21</v>
      </c>
      <c r="I262">
        <v>15</v>
      </c>
      <c r="J262">
        <v>819.46</v>
      </c>
      <c r="K262">
        <v>12291.9</v>
      </c>
      <c r="L262" t="s">
        <v>22</v>
      </c>
      <c r="M262" t="s">
        <v>22</v>
      </c>
      <c r="N262" s="1">
        <v>46203</v>
      </c>
      <c r="O262">
        <v>12291.9</v>
      </c>
    </row>
    <row r="263" spans="1:15" x14ac:dyDescent="0.3">
      <c r="A263" t="s">
        <v>306</v>
      </c>
      <c r="B263" s="1">
        <v>45755</v>
      </c>
      <c r="C263" t="s">
        <v>294</v>
      </c>
      <c r="D263" t="s">
        <v>24</v>
      </c>
      <c r="E263" t="s">
        <v>25</v>
      </c>
      <c r="F263" t="s">
        <v>19</v>
      </c>
      <c r="G263" t="s">
        <v>20</v>
      </c>
      <c r="H263" t="s">
        <v>34</v>
      </c>
      <c r="I263">
        <v>15</v>
      </c>
      <c r="J263">
        <v>832.8</v>
      </c>
      <c r="K263">
        <v>12492</v>
      </c>
      <c r="L263" t="s">
        <v>22</v>
      </c>
      <c r="M263" t="s">
        <v>22</v>
      </c>
      <c r="N263" s="1">
        <v>46203</v>
      </c>
      <c r="O263">
        <v>12492</v>
      </c>
    </row>
    <row r="264" spans="1:15" x14ac:dyDescent="0.3">
      <c r="A264" t="s">
        <v>307</v>
      </c>
      <c r="B264" s="1">
        <v>45755</v>
      </c>
      <c r="C264" t="s">
        <v>294</v>
      </c>
      <c r="D264" t="s">
        <v>24</v>
      </c>
      <c r="E264" t="s">
        <v>50</v>
      </c>
      <c r="F264" t="s">
        <v>29</v>
      </c>
      <c r="G264" t="s">
        <v>39</v>
      </c>
      <c r="H264" t="s">
        <v>21</v>
      </c>
      <c r="I264">
        <v>15</v>
      </c>
      <c r="J264">
        <v>883.64</v>
      </c>
      <c r="K264">
        <v>13254.6</v>
      </c>
      <c r="L264" t="s">
        <v>22</v>
      </c>
      <c r="M264" t="s">
        <v>22</v>
      </c>
      <c r="N264" s="1">
        <v>46203</v>
      </c>
      <c r="O264">
        <v>13254.6</v>
      </c>
    </row>
    <row r="265" spans="1:15" x14ac:dyDescent="0.3">
      <c r="A265" t="s">
        <v>308</v>
      </c>
      <c r="B265" s="1">
        <v>45755</v>
      </c>
      <c r="C265" t="s">
        <v>294</v>
      </c>
      <c r="D265" t="s">
        <v>24</v>
      </c>
      <c r="E265" t="s">
        <v>25</v>
      </c>
      <c r="F265" t="s">
        <v>33</v>
      </c>
      <c r="G265" t="s">
        <v>39</v>
      </c>
      <c r="H265" t="s">
        <v>21</v>
      </c>
      <c r="I265">
        <v>15</v>
      </c>
      <c r="J265">
        <v>933.29</v>
      </c>
      <c r="K265">
        <v>13999.35</v>
      </c>
      <c r="L265" t="s">
        <v>22</v>
      </c>
      <c r="M265" t="s">
        <v>22</v>
      </c>
      <c r="N265" s="1">
        <v>46203</v>
      </c>
      <c r="O265">
        <v>13999.35</v>
      </c>
    </row>
    <row r="266" spans="1:15" x14ac:dyDescent="0.3">
      <c r="A266" t="s">
        <v>309</v>
      </c>
      <c r="B266" s="1">
        <v>45756</v>
      </c>
      <c r="C266" t="s">
        <v>294</v>
      </c>
      <c r="D266" t="s">
        <v>17</v>
      </c>
      <c r="E266" t="s">
        <v>50</v>
      </c>
      <c r="F266" t="s">
        <v>29</v>
      </c>
      <c r="G266" t="s">
        <v>39</v>
      </c>
      <c r="H266" t="s">
        <v>21</v>
      </c>
      <c r="I266">
        <v>15</v>
      </c>
      <c r="J266">
        <v>1573.93</v>
      </c>
      <c r="K266">
        <v>23608.95</v>
      </c>
      <c r="L266" t="s">
        <v>22</v>
      </c>
      <c r="M266" t="s">
        <v>22</v>
      </c>
      <c r="N266" s="1">
        <v>46203</v>
      </c>
      <c r="O266">
        <v>23608.95</v>
      </c>
    </row>
    <row r="267" spans="1:15" x14ac:dyDescent="0.3">
      <c r="A267" t="s">
        <v>310</v>
      </c>
      <c r="B267" s="1">
        <v>45756</v>
      </c>
      <c r="C267" t="s">
        <v>294</v>
      </c>
      <c r="D267" t="s">
        <v>24</v>
      </c>
      <c r="E267" t="s">
        <v>25</v>
      </c>
      <c r="F267" t="s">
        <v>33</v>
      </c>
      <c r="G267" t="s">
        <v>39</v>
      </c>
      <c r="H267" t="s">
        <v>34</v>
      </c>
      <c r="I267">
        <v>3</v>
      </c>
      <c r="J267">
        <v>949.85</v>
      </c>
      <c r="K267">
        <v>2849.55</v>
      </c>
      <c r="L267" t="s">
        <v>30</v>
      </c>
      <c r="M267" t="s">
        <v>36</v>
      </c>
      <c r="N267" s="1">
        <v>45859</v>
      </c>
      <c r="O267">
        <v>2849.55</v>
      </c>
    </row>
    <row r="268" spans="1:15" x14ac:dyDescent="0.3">
      <c r="A268" t="s">
        <v>311</v>
      </c>
      <c r="B268" s="1">
        <v>45756</v>
      </c>
      <c r="C268" t="s">
        <v>294</v>
      </c>
      <c r="D268" t="s">
        <v>49</v>
      </c>
      <c r="E268" t="s">
        <v>25</v>
      </c>
      <c r="F268" t="s">
        <v>29</v>
      </c>
      <c r="G268" t="s">
        <v>39</v>
      </c>
      <c r="H268" t="s">
        <v>45</v>
      </c>
      <c r="I268">
        <v>14</v>
      </c>
      <c r="J268">
        <v>469.22</v>
      </c>
      <c r="K268">
        <v>6569.08</v>
      </c>
      <c r="L268" t="s">
        <v>30</v>
      </c>
      <c r="M268" t="s">
        <v>31</v>
      </c>
      <c r="N268" s="1">
        <v>46192</v>
      </c>
      <c r="O268">
        <v>6569.08</v>
      </c>
    </row>
    <row r="269" spans="1:15" x14ac:dyDescent="0.3">
      <c r="A269" t="s">
        <v>312</v>
      </c>
      <c r="B269" s="1">
        <v>45756</v>
      </c>
      <c r="C269" t="s">
        <v>294</v>
      </c>
      <c r="D269" t="s">
        <v>49</v>
      </c>
      <c r="E269" t="s">
        <v>25</v>
      </c>
      <c r="F269" t="s">
        <v>29</v>
      </c>
      <c r="G269" t="s">
        <v>39</v>
      </c>
      <c r="H269" t="s">
        <v>21</v>
      </c>
      <c r="I269">
        <v>15</v>
      </c>
      <c r="J269">
        <v>528.11</v>
      </c>
      <c r="K269">
        <v>7921.65</v>
      </c>
      <c r="L269" t="s">
        <v>22</v>
      </c>
      <c r="M269" t="s">
        <v>22</v>
      </c>
      <c r="N269" s="1">
        <v>46203</v>
      </c>
      <c r="O269">
        <v>7921.65</v>
      </c>
    </row>
    <row r="270" spans="1:15" x14ac:dyDescent="0.3">
      <c r="A270" t="s">
        <v>313</v>
      </c>
      <c r="B270" s="1">
        <v>45757</v>
      </c>
      <c r="C270" t="s">
        <v>294</v>
      </c>
      <c r="D270" t="s">
        <v>49</v>
      </c>
      <c r="E270" t="s">
        <v>18</v>
      </c>
      <c r="F270" t="s">
        <v>29</v>
      </c>
      <c r="G270" t="s">
        <v>20</v>
      </c>
      <c r="H270" t="s">
        <v>21</v>
      </c>
      <c r="I270">
        <v>15</v>
      </c>
      <c r="J270">
        <v>468.89</v>
      </c>
      <c r="K270">
        <v>7033.35</v>
      </c>
      <c r="L270" t="s">
        <v>22</v>
      </c>
      <c r="M270" t="s">
        <v>22</v>
      </c>
      <c r="N270" s="1">
        <v>46203</v>
      </c>
      <c r="O270">
        <v>7033.35</v>
      </c>
    </row>
    <row r="271" spans="1:15" x14ac:dyDescent="0.3">
      <c r="A271" t="s">
        <v>314</v>
      </c>
      <c r="B271" s="1">
        <v>45758</v>
      </c>
      <c r="C271" t="s">
        <v>294</v>
      </c>
      <c r="D271" t="s">
        <v>49</v>
      </c>
      <c r="E271" t="s">
        <v>25</v>
      </c>
      <c r="F271" t="s">
        <v>33</v>
      </c>
      <c r="G271" t="s">
        <v>39</v>
      </c>
      <c r="H271" t="s">
        <v>21</v>
      </c>
      <c r="I271">
        <v>15</v>
      </c>
      <c r="J271">
        <v>548.45000000000005</v>
      </c>
      <c r="K271">
        <v>8226.75</v>
      </c>
      <c r="L271" t="s">
        <v>22</v>
      </c>
      <c r="M271" t="s">
        <v>22</v>
      </c>
      <c r="N271" s="1">
        <v>46203</v>
      </c>
      <c r="O271">
        <v>8226.75</v>
      </c>
    </row>
    <row r="272" spans="1:15" x14ac:dyDescent="0.3">
      <c r="A272" t="s">
        <v>315</v>
      </c>
      <c r="B272" s="1">
        <v>45758</v>
      </c>
      <c r="C272" t="s">
        <v>294</v>
      </c>
      <c r="D272" t="s">
        <v>49</v>
      </c>
      <c r="E272" t="s">
        <v>28</v>
      </c>
      <c r="F272" t="s">
        <v>19</v>
      </c>
      <c r="G272" t="s">
        <v>20</v>
      </c>
      <c r="H272" t="s">
        <v>40</v>
      </c>
      <c r="I272">
        <v>13</v>
      </c>
      <c r="J272">
        <v>527.34</v>
      </c>
      <c r="K272">
        <v>6855.42</v>
      </c>
      <c r="L272" t="s">
        <v>30</v>
      </c>
      <c r="M272" t="s">
        <v>36</v>
      </c>
      <c r="N272" s="1">
        <v>46155</v>
      </c>
      <c r="O272">
        <v>6855.42</v>
      </c>
    </row>
    <row r="273" spans="1:15" x14ac:dyDescent="0.3">
      <c r="A273" t="s">
        <v>316</v>
      </c>
      <c r="B273" s="1">
        <v>45758</v>
      </c>
      <c r="C273" t="s">
        <v>294</v>
      </c>
      <c r="D273" t="s">
        <v>24</v>
      </c>
      <c r="E273" t="s">
        <v>25</v>
      </c>
      <c r="F273" t="s">
        <v>33</v>
      </c>
      <c r="G273" t="s">
        <v>39</v>
      </c>
      <c r="H273" t="s">
        <v>21</v>
      </c>
      <c r="I273">
        <v>15</v>
      </c>
      <c r="J273">
        <v>820.06</v>
      </c>
      <c r="K273">
        <v>12300.9</v>
      </c>
      <c r="L273" t="s">
        <v>22</v>
      </c>
      <c r="M273" t="s">
        <v>22</v>
      </c>
      <c r="N273" s="1">
        <v>46203</v>
      </c>
      <c r="O273">
        <v>12300.9</v>
      </c>
    </row>
    <row r="274" spans="1:15" x14ac:dyDescent="0.3">
      <c r="A274" t="s">
        <v>317</v>
      </c>
      <c r="B274" s="1">
        <v>45759</v>
      </c>
      <c r="C274" t="s">
        <v>294</v>
      </c>
      <c r="D274" t="s">
        <v>24</v>
      </c>
      <c r="E274" t="s">
        <v>25</v>
      </c>
      <c r="F274" t="s">
        <v>38</v>
      </c>
      <c r="G274" t="s">
        <v>20</v>
      </c>
      <c r="H274" t="s">
        <v>45</v>
      </c>
      <c r="I274">
        <v>15</v>
      </c>
      <c r="J274">
        <v>817.57</v>
      </c>
      <c r="K274">
        <v>12263.55</v>
      </c>
      <c r="L274" t="s">
        <v>22</v>
      </c>
      <c r="M274" t="s">
        <v>22</v>
      </c>
      <c r="N274" s="1">
        <v>46203</v>
      </c>
      <c r="O274">
        <v>12263.55</v>
      </c>
    </row>
    <row r="275" spans="1:15" x14ac:dyDescent="0.3">
      <c r="A275" t="s">
        <v>318</v>
      </c>
      <c r="B275" s="1">
        <v>45759</v>
      </c>
      <c r="C275" t="s">
        <v>294</v>
      </c>
      <c r="D275" t="s">
        <v>49</v>
      </c>
      <c r="E275" t="s">
        <v>28</v>
      </c>
      <c r="F275" t="s">
        <v>38</v>
      </c>
      <c r="G275" t="s">
        <v>39</v>
      </c>
      <c r="H275" t="s">
        <v>40</v>
      </c>
      <c r="I275">
        <v>15</v>
      </c>
      <c r="J275">
        <v>525.01</v>
      </c>
      <c r="K275">
        <v>7875.15</v>
      </c>
      <c r="L275" t="s">
        <v>22</v>
      </c>
      <c r="M275" t="s">
        <v>22</v>
      </c>
      <c r="N275" s="1">
        <v>46203</v>
      </c>
      <c r="O275">
        <v>7875.15</v>
      </c>
    </row>
    <row r="276" spans="1:15" x14ac:dyDescent="0.3">
      <c r="A276" t="s">
        <v>319</v>
      </c>
      <c r="B276" s="1">
        <v>45759</v>
      </c>
      <c r="C276" t="s">
        <v>294</v>
      </c>
      <c r="D276" t="s">
        <v>49</v>
      </c>
      <c r="E276" t="s">
        <v>18</v>
      </c>
      <c r="F276" t="s">
        <v>33</v>
      </c>
      <c r="G276" t="s">
        <v>39</v>
      </c>
      <c r="H276" t="s">
        <v>21</v>
      </c>
      <c r="I276">
        <v>15</v>
      </c>
      <c r="J276">
        <v>485.97</v>
      </c>
      <c r="K276">
        <v>7289.55</v>
      </c>
      <c r="L276" t="s">
        <v>22</v>
      </c>
      <c r="M276" t="s">
        <v>22</v>
      </c>
      <c r="N276" s="1">
        <v>46203</v>
      </c>
      <c r="O276">
        <v>7289.55</v>
      </c>
    </row>
    <row r="277" spans="1:15" x14ac:dyDescent="0.3">
      <c r="A277" t="s">
        <v>320</v>
      </c>
      <c r="B277" s="1">
        <v>45759</v>
      </c>
      <c r="C277" t="s">
        <v>294</v>
      </c>
      <c r="D277" t="s">
        <v>17</v>
      </c>
      <c r="E277" t="s">
        <v>50</v>
      </c>
      <c r="F277" t="s">
        <v>19</v>
      </c>
      <c r="G277" t="s">
        <v>20</v>
      </c>
      <c r="H277" t="s">
        <v>21</v>
      </c>
      <c r="I277">
        <v>15</v>
      </c>
      <c r="J277">
        <v>1507.7</v>
      </c>
      <c r="K277">
        <v>22615.5</v>
      </c>
      <c r="L277" t="s">
        <v>22</v>
      </c>
      <c r="M277" t="s">
        <v>22</v>
      </c>
      <c r="N277" s="1">
        <v>46203</v>
      </c>
      <c r="O277">
        <v>22615.5</v>
      </c>
    </row>
    <row r="278" spans="1:15" x14ac:dyDescent="0.3">
      <c r="A278" t="s">
        <v>321</v>
      </c>
      <c r="B278" s="1">
        <v>45760</v>
      </c>
      <c r="C278" t="s">
        <v>294</v>
      </c>
      <c r="D278" t="s">
        <v>17</v>
      </c>
      <c r="E278" t="s">
        <v>25</v>
      </c>
      <c r="F278" t="s">
        <v>29</v>
      </c>
      <c r="G278" t="s">
        <v>39</v>
      </c>
      <c r="H278" t="s">
        <v>34</v>
      </c>
      <c r="I278">
        <v>15</v>
      </c>
      <c r="J278">
        <v>1482.48</v>
      </c>
      <c r="K278">
        <v>22237.200000000001</v>
      </c>
      <c r="L278" t="s">
        <v>22</v>
      </c>
      <c r="M278" t="s">
        <v>22</v>
      </c>
      <c r="N278" s="1">
        <v>46203</v>
      </c>
      <c r="O278">
        <v>22237.200000000001</v>
      </c>
    </row>
    <row r="279" spans="1:15" x14ac:dyDescent="0.3">
      <c r="A279" t="s">
        <v>322</v>
      </c>
      <c r="B279" s="1">
        <v>45760</v>
      </c>
      <c r="C279" t="s">
        <v>294</v>
      </c>
      <c r="D279" t="s">
        <v>24</v>
      </c>
      <c r="E279" t="s">
        <v>25</v>
      </c>
      <c r="F279" t="s">
        <v>33</v>
      </c>
      <c r="G279" t="s">
        <v>39</v>
      </c>
      <c r="H279" t="s">
        <v>45</v>
      </c>
      <c r="I279">
        <v>11</v>
      </c>
      <c r="J279">
        <v>937.93</v>
      </c>
      <c r="K279">
        <v>10317.23</v>
      </c>
      <c r="L279" t="s">
        <v>30</v>
      </c>
      <c r="M279" t="s">
        <v>36</v>
      </c>
      <c r="N279" s="1">
        <v>46097</v>
      </c>
      <c r="O279">
        <v>10317.23</v>
      </c>
    </row>
    <row r="280" spans="1:15" x14ac:dyDescent="0.3">
      <c r="A280" t="s">
        <v>323</v>
      </c>
      <c r="B280" s="1">
        <v>45760</v>
      </c>
      <c r="C280" t="s">
        <v>294</v>
      </c>
      <c r="D280" t="s">
        <v>49</v>
      </c>
      <c r="E280" t="s">
        <v>25</v>
      </c>
      <c r="F280" t="s">
        <v>19</v>
      </c>
      <c r="G280" t="s">
        <v>39</v>
      </c>
      <c r="H280" t="s">
        <v>45</v>
      </c>
      <c r="I280">
        <v>15</v>
      </c>
      <c r="J280">
        <v>501.91</v>
      </c>
      <c r="K280">
        <v>7528.65</v>
      </c>
      <c r="L280" t="s">
        <v>22</v>
      </c>
      <c r="M280" t="s">
        <v>22</v>
      </c>
      <c r="N280" s="1">
        <v>46203</v>
      </c>
      <c r="O280">
        <v>7528.65</v>
      </c>
    </row>
    <row r="281" spans="1:15" x14ac:dyDescent="0.3">
      <c r="A281" t="s">
        <v>324</v>
      </c>
      <c r="B281" s="1">
        <v>45761</v>
      </c>
      <c r="C281" t="s">
        <v>294</v>
      </c>
      <c r="D281" t="s">
        <v>17</v>
      </c>
      <c r="E281" t="s">
        <v>28</v>
      </c>
      <c r="F281" t="s">
        <v>29</v>
      </c>
      <c r="G281" t="s">
        <v>39</v>
      </c>
      <c r="H281" t="s">
        <v>40</v>
      </c>
      <c r="I281">
        <v>11</v>
      </c>
      <c r="J281">
        <v>1355.29</v>
      </c>
      <c r="K281">
        <v>14908.19</v>
      </c>
      <c r="L281" t="s">
        <v>30</v>
      </c>
      <c r="M281" t="s">
        <v>80</v>
      </c>
      <c r="N281" s="1">
        <v>46098</v>
      </c>
      <c r="O281">
        <v>14908.19</v>
      </c>
    </row>
    <row r="282" spans="1:15" x14ac:dyDescent="0.3">
      <c r="A282" t="s">
        <v>325</v>
      </c>
      <c r="B282" s="1">
        <v>45761</v>
      </c>
      <c r="C282" t="s">
        <v>294</v>
      </c>
      <c r="D282" t="s">
        <v>24</v>
      </c>
      <c r="E282" t="s">
        <v>25</v>
      </c>
      <c r="F282" t="s">
        <v>38</v>
      </c>
      <c r="G282" t="s">
        <v>39</v>
      </c>
      <c r="H282" t="s">
        <v>40</v>
      </c>
      <c r="I282">
        <v>15</v>
      </c>
      <c r="J282">
        <v>811.41</v>
      </c>
      <c r="K282">
        <v>12171.15</v>
      </c>
      <c r="L282" t="s">
        <v>22</v>
      </c>
      <c r="M282" t="s">
        <v>22</v>
      </c>
      <c r="N282" s="1">
        <v>46203</v>
      </c>
      <c r="O282">
        <v>12171.15</v>
      </c>
    </row>
    <row r="283" spans="1:15" x14ac:dyDescent="0.3">
      <c r="A283" t="s">
        <v>326</v>
      </c>
      <c r="B283" s="1">
        <v>45761</v>
      </c>
      <c r="C283" t="s">
        <v>294</v>
      </c>
      <c r="D283" t="s">
        <v>24</v>
      </c>
      <c r="E283" t="s">
        <v>28</v>
      </c>
      <c r="F283" t="s">
        <v>19</v>
      </c>
      <c r="G283" t="s">
        <v>39</v>
      </c>
      <c r="H283" t="s">
        <v>34</v>
      </c>
      <c r="I283">
        <v>15</v>
      </c>
      <c r="J283">
        <v>927.69</v>
      </c>
      <c r="K283">
        <v>13915.35</v>
      </c>
      <c r="L283" t="s">
        <v>22</v>
      </c>
      <c r="M283" t="s">
        <v>22</v>
      </c>
      <c r="N283" s="1">
        <v>46203</v>
      </c>
      <c r="O283">
        <v>13915.35</v>
      </c>
    </row>
    <row r="284" spans="1:15" x14ac:dyDescent="0.3">
      <c r="A284" t="s">
        <v>327</v>
      </c>
      <c r="B284" s="1">
        <v>45761</v>
      </c>
      <c r="C284" t="s">
        <v>294</v>
      </c>
      <c r="D284" t="s">
        <v>49</v>
      </c>
      <c r="E284" t="s">
        <v>25</v>
      </c>
      <c r="F284" t="s">
        <v>19</v>
      </c>
      <c r="G284" t="s">
        <v>20</v>
      </c>
      <c r="H284" t="s">
        <v>40</v>
      </c>
      <c r="I284">
        <v>15</v>
      </c>
      <c r="J284">
        <v>464.34</v>
      </c>
      <c r="K284">
        <v>6965.1</v>
      </c>
      <c r="L284" t="s">
        <v>22</v>
      </c>
      <c r="M284" t="s">
        <v>22</v>
      </c>
      <c r="N284" s="1">
        <v>46203</v>
      </c>
      <c r="O284">
        <v>6965.1</v>
      </c>
    </row>
    <row r="285" spans="1:15" x14ac:dyDescent="0.3">
      <c r="A285" t="s">
        <v>328</v>
      </c>
      <c r="B285" s="1">
        <v>45762</v>
      </c>
      <c r="C285" t="s">
        <v>294</v>
      </c>
      <c r="D285" t="s">
        <v>49</v>
      </c>
      <c r="E285" t="s">
        <v>50</v>
      </c>
      <c r="F285" t="s">
        <v>38</v>
      </c>
      <c r="G285" t="s">
        <v>39</v>
      </c>
      <c r="H285" t="s">
        <v>34</v>
      </c>
      <c r="I285">
        <v>14</v>
      </c>
      <c r="J285">
        <v>514.16999999999996</v>
      </c>
      <c r="K285">
        <v>7198.38</v>
      </c>
      <c r="L285" t="s">
        <v>22</v>
      </c>
      <c r="M285" t="s">
        <v>22</v>
      </c>
      <c r="N285" s="1">
        <v>46203</v>
      </c>
      <c r="O285">
        <v>7198.38</v>
      </c>
    </row>
    <row r="286" spans="1:15" x14ac:dyDescent="0.3">
      <c r="A286" t="s">
        <v>329</v>
      </c>
      <c r="B286" s="1">
        <v>45763</v>
      </c>
      <c r="C286" t="s">
        <v>294</v>
      </c>
      <c r="D286" t="s">
        <v>17</v>
      </c>
      <c r="E286" t="s">
        <v>50</v>
      </c>
      <c r="F286" t="s">
        <v>19</v>
      </c>
      <c r="G286" t="s">
        <v>39</v>
      </c>
      <c r="H286" t="s">
        <v>45</v>
      </c>
      <c r="I286">
        <v>14</v>
      </c>
      <c r="J286">
        <v>1499.26</v>
      </c>
      <c r="K286">
        <v>20989.64</v>
      </c>
      <c r="L286" t="s">
        <v>22</v>
      </c>
      <c r="M286" t="s">
        <v>22</v>
      </c>
      <c r="N286" s="1">
        <v>46203</v>
      </c>
      <c r="O286">
        <v>20989.64</v>
      </c>
    </row>
    <row r="287" spans="1:15" x14ac:dyDescent="0.3">
      <c r="A287" t="s">
        <v>330</v>
      </c>
      <c r="B287" s="1">
        <v>45763</v>
      </c>
      <c r="C287" t="s">
        <v>294</v>
      </c>
      <c r="D287" t="s">
        <v>49</v>
      </c>
      <c r="E287" t="s">
        <v>25</v>
      </c>
      <c r="F287" t="s">
        <v>29</v>
      </c>
      <c r="G287" t="s">
        <v>39</v>
      </c>
      <c r="H287" t="s">
        <v>21</v>
      </c>
      <c r="I287">
        <v>14</v>
      </c>
      <c r="J287">
        <v>536.23</v>
      </c>
      <c r="K287">
        <v>7507.22</v>
      </c>
      <c r="L287" t="s">
        <v>22</v>
      </c>
      <c r="M287" t="s">
        <v>22</v>
      </c>
      <c r="N287" s="1">
        <v>46203</v>
      </c>
      <c r="O287">
        <v>7507.22</v>
      </c>
    </row>
    <row r="288" spans="1:15" x14ac:dyDescent="0.3">
      <c r="A288" t="s">
        <v>331</v>
      </c>
      <c r="B288" s="1">
        <v>45763</v>
      </c>
      <c r="C288" t="s">
        <v>294</v>
      </c>
      <c r="D288" t="s">
        <v>24</v>
      </c>
      <c r="E288" t="s">
        <v>25</v>
      </c>
      <c r="F288" t="s">
        <v>29</v>
      </c>
      <c r="G288" t="s">
        <v>39</v>
      </c>
      <c r="H288" t="s">
        <v>21</v>
      </c>
      <c r="I288">
        <v>14</v>
      </c>
      <c r="J288">
        <v>976.58</v>
      </c>
      <c r="K288">
        <v>13672.12</v>
      </c>
      <c r="L288" t="s">
        <v>30</v>
      </c>
      <c r="M288" t="s">
        <v>31</v>
      </c>
      <c r="N288" s="1">
        <v>46183</v>
      </c>
      <c r="O288">
        <v>13672.12</v>
      </c>
    </row>
    <row r="289" spans="1:15" x14ac:dyDescent="0.3">
      <c r="A289" t="s">
        <v>332</v>
      </c>
      <c r="B289" s="1">
        <v>45763</v>
      </c>
      <c r="C289" t="s">
        <v>294</v>
      </c>
      <c r="D289" t="s">
        <v>17</v>
      </c>
      <c r="E289" t="s">
        <v>28</v>
      </c>
      <c r="F289" t="s">
        <v>19</v>
      </c>
      <c r="G289" t="s">
        <v>39</v>
      </c>
      <c r="H289" t="s">
        <v>40</v>
      </c>
      <c r="I289">
        <v>14</v>
      </c>
      <c r="J289">
        <v>1520.57</v>
      </c>
      <c r="K289">
        <v>21287.98</v>
      </c>
      <c r="L289" t="s">
        <v>22</v>
      </c>
      <c r="M289" t="s">
        <v>22</v>
      </c>
      <c r="N289" s="1">
        <v>46203</v>
      </c>
      <c r="O289">
        <v>21287.98</v>
      </c>
    </row>
    <row r="290" spans="1:15" x14ac:dyDescent="0.3">
      <c r="A290" t="s">
        <v>333</v>
      </c>
      <c r="B290" s="1">
        <v>45763</v>
      </c>
      <c r="C290" t="s">
        <v>294</v>
      </c>
      <c r="D290" t="s">
        <v>49</v>
      </c>
      <c r="E290" t="s">
        <v>18</v>
      </c>
      <c r="F290" t="s">
        <v>51</v>
      </c>
      <c r="G290" t="s">
        <v>26</v>
      </c>
      <c r="H290" t="s">
        <v>45</v>
      </c>
      <c r="I290">
        <v>14</v>
      </c>
      <c r="J290">
        <v>512.33000000000004</v>
      </c>
      <c r="K290">
        <v>7172.62</v>
      </c>
      <c r="L290" t="s">
        <v>22</v>
      </c>
      <c r="M290" t="s">
        <v>22</v>
      </c>
      <c r="N290" s="1">
        <v>46203</v>
      </c>
      <c r="O290">
        <v>7172.62</v>
      </c>
    </row>
    <row r="291" spans="1:15" x14ac:dyDescent="0.3">
      <c r="A291" t="s">
        <v>334</v>
      </c>
      <c r="B291" s="1">
        <v>45763</v>
      </c>
      <c r="C291" t="s">
        <v>294</v>
      </c>
      <c r="D291" t="s">
        <v>17</v>
      </c>
      <c r="E291" t="s">
        <v>28</v>
      </c>
      <c r="F291" t="s">
        <v>19</v>
      </c>
      <c r="G291" t="s">
        <v>20</v>
      </c>
      <c r="H291" t="s">
        <v>45</v>
      </c>
      <c r="I291">
        <v>14</v>
      </c>
      <c r="J291">
        <v>1431.13</v>
      </c>
      <c r="K291">
        <v>20035.82</v>
      </c>
      <c r="L291" t="s">
        <v>22</v>
      </c>
      <c r="M291" t="s">
        <v>22</v>
      </c>
      <c r="N291" s="1">
        <v>46203</v>
      </c>
      <c r="O291">
        <v>20035.82</v>
      </c>
    </row>
    <row r="292" spans="1:15" x14ac:dyDescent="0.3">
      <c r="A292" t="s">
        <v>335</v>
      </c>
      <c r="B292" s="1">
        <v>45764</v>
      </c>
      <c r="C292" t="s">
        <v>294</v>
      </c>
      <c r="D292" t="s">
        <v>24</v>
      </c>
      <c r="E292" t="s">
        <v>28</v>
      </c>
      <c r="F292" t="s">
        <v>29</v>
      </c>
      <c r="G292" t="s">
        <v>20</v>
      </c>
      <c r="H292" t="s">
        <v>40</v>
      </c>
      <c r="I292">
        <v>14</v>
      </c>
      <c r="J292">
        <v>868.94</v>
      </c>
      <c r="K292">
        <v>12165.16</v>
      </c>
      <c r="L292" t="s">
        <v>22</v>
      </c>
      <c r="M292" t="s">
        <v>22</v>
      </c>
      <c r="N292" s="1">
        <v>46203</v>
      </c>
      <c r="O292">
        <v>12165.16</v>
      </c>
    </row>
    <row r="293" spans="1:15" x14ac:dyDescent="0.3">
      <c r="A293" t="s">
        <v>336</v>
      </c>
      <c r="B293" s="1">
        <v>45765</v>
      </c>
      <c r="C293" t="s">
        <v>294</v>
      </c>
      <c r="D293" t="s">
        <v>24</v>
      </c>
      <c r="E293" t="s">
        <v>25</v>
      </c>
      <c r="F293" t="s">
        <v>51</v>
      </c>
      <c r="G293" t="s">
        <v>39</v>
      </c>
      <c r="H293" t="s">
        <v>40</v>
      </c>
      <c r="I293">
        <v>14</v>
      </c>
      <c r="J293">
        <v>952.22</v>
      </c>
      <c r="K293">
        <v>13331.08</v>
      </c>
      <c r="L293" t="s">
        <v>22</v>
      </c>
      <c r="M293" t="s">
        <v>22</v>
      </c>
      <c r="N293" s="1">
        <v>46203</v>
      </c>
      <c r="O293">
        <v>13331.08</v>
      </c>
    </row>
    <row r="294" spans="1:15" x14ac:dyDescent="0.3">
      <c r="A294" t="s">
        <v>337</v>
      </c>
      <c r="B294" s="1">
        <v>45765</v>
      </c>
      <c r="C294" t="s">
        <v>294</v>
      </c>
      <c r="D294" t="s">
        <v>49</v>
      </c>
      <c r="E294" t="s">
        <v>25</v>
      </c>
      <c r="F294" t="s">
        <v>38</v>
      </c>
      <c r="G294" t="s">
        <v>39</v>
      </c>
      <c r="H294" t="s">
        <v>21</v>
      </c>
      <c r="I294">
        <v>14</v>
      </c>
      <c r="J294">
        <v>485.07</v>
      </c>
      <c r="K294">
        <v>6790.98</v>
      </c>
      <c r="L294" t="s">
        <v>22</v>
      </c>
      <c r="M294" t="s">
        <v>22</v>
      </c>
      <c r="N294" s="1">
        <v>46203</v>
      </c>
      <c r="O294">
        <v>6790.98</v>
      </c>
    </row>
    <row r="295" spans="1:15" x14ac:dyDescent="0.3">
      <c r="A295" t="s">
        <v>338</v>
      </c>
      <c r="B295" s="1">
        <v>45765</v>
      </c>
      <c r="C295" t="s">
        <v>294</v>
      </c>
      <c r="D295" t="s">
        <v>49</v>
      </c>
      <c r="E295" t="s">
        <v>28</v>
      </c>
      <c r="F295" t="s">
        <v>29</v>
      </c>
      <c r="G295" t="s">
        <v>26</v>
      </c>
      <c r="H295" t="s">
        <v>40</v>
      </c>
      <c r="I295">
        <v>14</v>
      </c>
      <c r="J295">
        <v>529.07000000000005</v>
      </c>
      <c r="K295">
        <v>7406.98</v>
      </c>
      <c r="L295" t="s">
        <v>22</v>
      </c>
      <c r="M295" t="s">
        <v>22</v>
      </c>
      <c r="N295" s="1">
        <v>46203</v>
      </c>
      <c r="O295">
        <v>7406.98</v>
      </c>
    </row>
    <row r="296" spans="1:15" x14ac:dyDescent="0.3">
      <c r="A296" t="s">
        <v>339</v>
      </c>
      <c r="B296" s="1">
        <v>45766</v>
      </c>
      <c r="C296" t="s">
        <v>294</v>
      </c>
      <c r="D296" t="s">
        <v>24</v>
      </c>
      <c r="E296" t="s">
        <v>18</v>
      </c>
      <c r="F296" t="s">
        <v>33</v>
      </c>
      <c r="G296" t="s">
        <v>20</v>
      </c>
      <c r="H296" t="s">
        <v>21</v>
      </c>
      <c r="I296">
        <v>14</v>
      </c>
      <c r="J296">
        <v>843.36</v>
      </c>
      <c r="K296">
        <v>11807.04</v>
      </c>
      <c r="L296" t="s">
        <v>22</v>
      </c>
      <c r="M296" t="s">
        <v>22</v>
      </c>
      <c r="N296" s="1">
        <v>46203</v>
      </c>
      <c r="O296">
        <v>11807.04</v>
      </c>
    </row>
    <row r="297" spans="1:15" x14ac:dyDescent="0.3">
      <c r="A297" t="s">
        <v>340</v>
      </c>
      <c r="B297" s="1">
        <v>45766</v>
      </c>
      <c r="C297" t="s">
        <v>294</v>
      </c>
      <c r="D297" t="s">
        <v>49</v>
      </c>
      <c r="E297" t="s">
        <v>28</v>
      </c>
      <c r="F297" t="s">
        <v>33</v>
      </c>
      <c r="G297" t="s">
        <v>20</v>
      </c>
      <c r="H297" t="s">
        <v>45</v>
      </c>
      <c r="I297">
        <v>14</v>
      </c>
      <c r="J297">
        <v>535.80999999999995</v>
      </c>
      <c r="K297">
        <v>7501.34</v>
      </c>
      <c r="L297" t="s">
        <v>22</v>
      </c>
      <c r="M297" t="s">
        <v>22</v>
      </c>
      <c r="N297" s="1">
        <v>46203</v>
      </c>
      <c r="O297">
        <v>7501.34</v>
      </c>
    </row>
    <row r="298" spans="1:15" x14ac:dyDescent="0.3">
      <c r="A298" t="s">
        <v>341</v>
      </c>
      <c r="B298" s="1">
        <v>45767</v>
      </c>
      <c r="C298" t="s">
        <v>294</v>
      </c>
      <c r="D298" t="s">
        <v>49</v>
      </c>
      <c r="E298" t="s">
        <v>25</v>
      </c>
      <c r="F298" t="s">
        <v>33</v>
      </c>
      <c r="G298" t="s">
        <v>39</v>
      </c>
      <c r="H298" t="s">
        <v>45</v>
      </c>
      <c r="I298">
        <v>14</v>
      </c>
      <c r="J298">
        <v>523.41999999999996</v>
      </c>
      <c r="K298">
        <v>7327.88</v>
      </c>
      <c r="L298" t="s">
        <v>22</v>
      </c>
      <c r="M298" t="s">
        <v>22</v>
      </c>
      <c r="N298" s="1">
        <v>46203</v>
      </c>
      <c r="O298">
        <v>7327.88</v>
      </c>
    </row>
    <row r="299" spans="1:15" x14ac:dyDescent="0.3">
      <c r="A299" t="s">
        <v>342</v>
      </c>
      <c r="B299" s="1">
        <v>45767</v>
      </c>
      <c r="C299" t="s">
        <v>294</v>
      </c>
      <c r="D299" t="s">
        <v>49</v>
      </c>
      <c r="E299" t="s">
        <v>18</v>
      </c>
      <c r="F299" t="s">
        <v>38</v>
      </c>
      <c r="G299" t="s">
        <v>39</v>
      </c>
      <c r="H299" t="s">
        <v>34</v>
      </c>
      <c r="I299">
        <v>14</v>
      </c>
      <c r="J299">
        <v>488.52</v>
      </c>
      <c r="K299">
        <v>6839.28</v>
      </c>
      <c r="L299" t="s">
        <v>30</v>
      </c>
      <c r="M299" t="s">
        <v>43</v>
      </c>
      <c r="N299" s="1">
        <v>46199</v>
      </c>
      <c r="O299">
        <v>6839.28</v>
      </c>
    </row>
    <row r="300" spans="1:15" x14ac:dyDescent="0.3">
      <c r="A300" t="s">
        <v>343</v>
      </c>
      <c r="B300" s="1">
        <v>45767</v>
      </c>
      <c r="C300" t="s">
        <v>294</v>
      </c>
      <c r="D300" t="s">
        <v>17</v>
      </c>
      <c r="E300" t="s">
        <v>28</v>
      </c>
      <c r="F300" t="s">
        <v>38</v>
      </c>
      <c r="G300" t="s">
        <v>39</v>
      </c>
      <c r="H300" t="s">
        <v>34</v>
      </c>
      <c r="I300">
        <v>14</v>
      </c>
      <c r="J300">
        <v>1356.2</v>
      </c>
      <c r="K300">
        <v>18986.8</v>
      </c>
      <c r="L300" t="s">
        <v>22</v>
      </c>
      <c r="M300" t="s">
        <v>22</v>
      </c>
      <c r="N300" s="1">
        <v>46203</v>
      </c>
      <c r="O300">
        <v>18986.8</v>
      </c>
    </row>
    <row r="301" spans="1:15" x14ac:dyDescent="0.3">
      <c r="A301" t="s">
        <v>344</v>
      </c>
      <c r="B301" s="1">
        <v>45767</v>
      </c>
      <c r="C301" t="s">
        <v>294</v>
      </c>
      <c r="D301" t="s">
        <v>17</v>
      </c>
      <c r="E301" t="s">
        <v>28</v>
      </c>
      <c r="F301" t="s">
        <v>29</v>
      </c>
      <c r="G301" t="s">
        <v>39</v>
      </c>
      <c r="H301" t="s">
        <v>21</v>
      </c>
      <c r="I301">
        <v>14</v>
      </c>
      <c r="J301">
        <v>1527.28</v>
      </c>
      <c r="K301">
        <v>21381.919999999998</v>
      </c>
      <c r="L301" t="s">
        <v>22</v>
      </c>
      <c r="M301" t="s">
        <v>22</v>
      </c>
      <c r="N301" s="1">
        <v>46203</v>
      </c>
      <c r="O301">
        <v>21381.919999999998</v>
      </c>
    </row>
    <row r="302" spans="1:15" x14ac:dyDescent="0.3">
      <c r="A302" t="s">
        <v>345</v>
      </c>
      <c r="B302" s="1">
        <v>45767</v>
      </c>
      <c r="C302" t="s">
        <v>294</v>
      </c>
      <c r="D302" t="s">
        <v>17</v>
      </c>
      <c r="E302" t="s">
        <v>28</v>
      </c>
      <c r="F302" t="s">
        <v>29</v>
      </c>
      <c r="G302" t="s">
        <v>26</v>
      </c>
      <c r="H302" t="s">
        <v>40</v>
      </c>
      <c r="I302">
        <v>14</v>
      </c>
      <c r="J302">
        <v>1469.48</v>
      </c>
      <c r="K302">
        <v>20572.72</v>
      </c>
      <c r="L302" t="s">
        <v>22</v>
      </c>
      <c r="M302" t="s">
        <v>22</v>
      </c>
      <c r="N302" s="1">
        <v>46203</v>
      </c>
      <c r="O302">
        <v>20572.72</v>
      </c>
    </row>
    <row r="303" spans="1:15" x14ac:dyDescent="0.3">
      <c r="A303" t="s">
        <v>346</v>
      </c>
      <c r="B303" s="1">
        <v>45768</v>
      </c>
      <c r="C303" t="s">
        <v>294</v>
      </c>
      <c r="D303" t="s">
        <v>24</v>
      </c>
      <c r="E303" t="s">
        <v>28</v>
      </c>
      <c r="F303" t="s">
        <v>19</v>
      </c>
      <c r="G303" t="s">
        <v>39</v>
      </c>
      <c r="H303" t="s">
        <v>34</v>
      </c>
      <c r="I303">
        <v>14</v>
      </c>
      <c r="J303">
        <v>969.49</v>
      </c>
      <c r="K303">
        <v>13572.86</v>
      </c>
      <c r="L303" t="s">
        <v>22</v>
      </c>
      <c r="M303" t="s">
        <v>22</v>
      </c>
      <c r="N303" s="1">
        <v>46203</v>
      </c>
      <c r="O303">
        <v>13572.86</v>
      </c>
    </row>
    <row r="304" spans="1:15" x14ac:dyDescent="0.3">
      <c r="A304" t="s">
        <v>347</v>
      </c>
      <c r="B304" s="1">
        <v>45768</v>
      </c>
      <c r="C304" t="s">
        <v>294</v>
      </c>
      <c r="D304" t="s">
        <v>24</v>
      </c>
      <c r="E304" t="s">
        <v>18</v>
      </c>
      <c r="F304" t="s">
        <v>29</v>
      </c>
      <c r="G304" t="s">
        <v>20</v>
      </c>
      <c r="H304" t="s">
        <v>40</v>
      </c>
      <c r="I304">
        <v>14</v>
      </c>
      <c r="J304">
        <v>898.92</v>
      </c>
      <c r="K304">
        <v>12584.88</v>
      </c>
      <c r="L304" t="s">
        <v>22</v>
      </c>
      <c r="M304" t="s">
        <v>22</v>
      </c>
      <c r="N304" s="1">
        <v>46203</v>
      </c>
      <c r="O304">
        <v>12584.88</v>
      </c>
    </row>
    <row r="305" spans="1:15" x14ac:dyDescent="0.3">
      <c r="A305" t="s">
        <v>348</v>
      </c>
      <c r="B305" s="1">
        <v>45768</v>
      </c>
      <c r="C305" t="s">
        <v>294</v>
      </c>
      <c r="D305" t="s">
        <v>24</v>
      </c>
      <c r="E305" t="s">
        <v>25</v>
      </c>
      <c r="F305" t="s">
        <v>29</v>
      </c>
      <c r="G305" t="s">
        <v>20</v>
      </c>
      <c r="H305" t="s">
        <v>21</v>
      </c>
      <c r="I305">
        <v>14</v>
      </c>
      <c r="J305">
        <v>935.91</v>
      </c>
      <c r="K305">
        <v>13102.74</v>
      </c>
      <c r="L305" t="s">
        <v>22</v>
      </c>
      <c r="M305" t="s">
        <v>22</v>
      </c>
      <c r="N305" s="1">
        <v>46203</v>
      </c>
      <c r="O305">
        <v>13102.74</v>
      </c>
    </row>
    <row r="306" spans="1:15" x14ac:dyDescent="0.3">
      <c r="A306" t="s">
        <v>349</v>
      </c>
      <c r="B306" s="1">
        <v>45768</v>
      </c>
      <c r="C306" t="s">
        <v>294</v>
      </c>
      <c r="D306" t="s">
        <v>49</v>
      </c>
      <c r="E306" t="s">
        <v>28</v>
      </c>
      <c r="F306" t="s">
        <v>29</v>
      </c>
      <c r="G306" t="s">
        <v>39</v>
      </c>
      <c r="H306" t="s">
        <v>21</v>
      </c>
      <c r="I306">
        <v>10</v>
      </c>
      <c r="J306">
        <v>515.84</v>
      </c>
      <c r="K306">
        <v>5158.3999999999996</v>
      </c>
      <c r="L306" t="s">
        <v>30</v>
      </c>
      <c r="M306" t="s">
        <v>36</v>
      </c>
      <c r="N306" s="1">
        <v>46075</v>
      </c>
      <c r="O306">
        <v>5158.3999999999996</v>
      </c>
    </row>
    <row r="307" spans="1:15" x14ac:dyDescent="0.3">
      <c r="A307" t="s">
        <v>350</v>
      </c>
      <c r="B307" s="1">
        <v>45769</v>
      </c>
      <c r="C307" t="s">
        <v>294</v>
      </c>
      <c r="D307" t="s">
        <v>24</v>
      </c>
      <c r="E307" t="s">
        <v>18</v>
      </c>
      <c r="F307" t="s">
        <v>19</v>
      </c>
      <c r="G307" t="s">
        <v>26</v>
      </c>
      <c r="H307" t="s">
        <v>40</v>
      </c>
      <c r="I307">
        <v>14</v>
      </c>
      <c r="J307">
        <v>860.28</v>
      </c>
      <c r="K307">
        <v>12043.92</v>
      </c>
      <c r="L307" t="s">
        <v>22</v>
      </c>
      <c r="M307" t="s">
        <v>22</v>
      </c>
      <c r="N307" s="1">
        <v>46203</v>
      </c>
      <c r="O307">
        <v>12043.92</v>
      </c>
    </row>
    <row r="308" spans="1:15" x14ac:dyDescent="0.3">
      <c r="A308" t="s">
        <v>351</v>
      </c>
      <c r="B308" s="1">
        <v>45769</v>
      </c>
      <c r="C308" t="s">
        <v>294</v>
      </c>
      <c r="D308" t="s">
        <v>49</v>
      </c>
      <c r="E308" t="s">
        <v>25</v>
      </c>
      <c r="F308" t="s">
        <v>38</v>
      </c>
      <c r="G308" t="s">
        <v>20</v>
      </c>
      <c r="H308" t="s">
        <v>21</v>
      </c>
      <c r="I308">
        <v>14</v>
      </c>
      <c r="J308">
        <v>537.08000000000004</v>
      </c>
      <c r="K308">
        <v>7519.12</v>
      </c>
      <c r="L308" t="s">
        <v>22</v>
      </c>
      <c r="M308" t="s">
        <v>22</v>
      </c>
      <c r="N308" s="1">
        <v>46203</v>
      </c>
      <c r="O308">
        <v>7519.12</v>
      </c>
    </row>
    <row r="309" spans="1:15" x14ac:dyDescent="0.3">
      <c r="A309" t="s">
        <v>352</v>
      </c>
      <c r="B309" s="1">
        <v>45770</v>
      </c>
      <c r="C309" t="s">
        <v>294</v>
      </c>
      <c r="D309" t="s">
        <v>24</v>
      </c>
      <c r="E309" t="s">
        <v>28</v>
      </c>
      <c r="F309" t="s">
        <v>19</v>
      </c>
      <c r="G309" t="s">
        <v>20</v>
      </c>
      <c r="H309" t="s">
        <v>21</v>
      </c>
      <c r="I309">
        <v>14</v>
      </c>
      <c r="J309">
        <v>973.45</v>
      </c>
      <c r="K309">
        <v>13628.3</v>
      </c>
      <c r="L309" t="s">
        <v>22</v>
      </c>
      <c r="M309" t="s">
        <v>22</v>
      </c>
      <c r="N309" s="1">
        <v>46203</v>
      </c>
      <c r="O309">
        <v>13628.3</v>
      </c>
    </row>
    <row r="310" spans="1:15" x14ac:dyDescent="0.3">
      <c r="A310" t="s">
        <v>353</v>
      </c>
      <c r="B310" s="1">
        <v>45771</v>
      </c>
      <c r="C310" t="s">
        <v>294</v>
      </c>
      <c r="D310" t="s">
        <v>24</v>
      </c>
      <c r="E310" t="s">
        <v>28</v>
      </c>
      <c r="F310" t="s">
        <v>29</v>
      </c>
      <c r="G310" t="s">
        <v>39</v>
      </c>
      <c r="H310" t="s">
        <v>34</v>
      </c>
      <c r="I310">
        <v>5</v>
      </c>
      <c r="J310">
        <v>868.95</v>
      </c>
      <c r="K310">
        <v>4344.75</v>
      </c>
      <c r="L310" t="s">
        <v>30</v>
      </c>
      <c r="M310" t="s">
        <v>31</v>
      </c>
      <c r="N310" s="1">
        <v>45930</v>
      </c>
      <c r="O310">
        <v>4344.75</v>
      </c>
    </row>
    <row r="311" spans="1:15" x14ac:dyDescent="0.3">
      <c r="A311" t="s">
        <v>354</v>
      </c>
      <c r="B311" s="1">
        <v>45771</v>
      </c>
      <c r="C311" t="s">
        <v>294</v>
      </c>
      <c r="D311" t="s">
        <v>49</v>
      </c>
      <c r="E311" t="s">
        <v>28</v>
      </c>
      <c r="F311" t="s">
        <v>33</v>
      </c>
      <c r="G311" t="s">
        <v>26</v>
      </c>
      <c r="H311" t="s">
        <v>40</v>
      </c>
      <c r="I311">
        <v>14</v>
      </c>
      <c r="J311">
        <v>536.03</v>
      </c>
      <c r="K311">
        <v>7504.42</v>
      </c>
      <c r="L311" t="s">
        <v>22</v>
      </c>
      <c r="M311" t="s">
        <v>22</v>
      </c>
      <c r="N311" s="1">
        <v>46203</v>
      </c>
      <c r="O311">
        <v>7504.42</v>
      </c>
    </row>
    <row r="312" spans="1:15" x14ac:dyDescent="0.3">
      <c r="A312" t="s">
        <v>355</v>
      </c>
      <c r="B312" s="1">
        <v>45771</v>
      </c>
      <c r="C312" t="s">
        <v>294</v>
      </c>
      <c r="D312" t="s">
        <v>24</v>
      </c>
      <c r="E312" t="s">
        <v>25</v>
      </c>
      <c r="F312" t="s">
        <v>29</v>
      </c>
      <c r="G312" t="s">
        <v>39</v>
      </c>
      <c r="H312" t="s">
        <v>34</v>
      </c>
      <c r="I312">
        <v>14</v>
      </c>
      <c r="J312">
        <v>820.09</v>
      </c>
      <c r="K312">
        <v>11481.26</v>
      </c>
      <c r="L312" t="s">
        <v>22</v>
      </c>
      <c r="M312" t="s">
        <v>22</v>
      </c>
      <c r="N312" s="1">
        <v>46203</v>
      </c>
      <c r="O312">
        <v>11481.26</v>
      </c>
    </row>
    <row r="313" spans="1:15" x14ac:dyDescent="0.3">
      <c r="A313" t="s">
        <v>356</v>
      </c>
      <c r="B313" s="1">
        <v>45772</v>
      </c>
      <c r="C313" t="s">
        <v>294</v>
      </c>
      <c r="D313" t="s">
        <v>17</v>
      </c>
      <c r="E313" t="s">
        <v>28</v>
      </c>
      <c r="F313" t="s">
        <v>38</v>
      </c>
      <c r="G313" t="s">
        <v>39</v>
      </c>
      <c r="H313" t="s">
        <v>21</v>
      </c>
      <c r="I313">
        <v>14</v>
      </c>
      <c r="J313">
        <v>1533.85</v>
      </c>
      <c r="K313">
        <v>21473.9</v>
      </c>
      <c r="L313" t="s">
        <v>22</v>
      </c>
      <c r="M313" t="s">
        <v>22</v>
      </c>
      <c r="N313" s="1">
        <v>46203</v>
      </c>
      <c r="O313">
        <v>21473.9</v>
      </c>
    </row>
    <row r="314" spans="1:15" x14ac:dyDescent="0.3">
      <c r="A314" t="s">
        <v>357</v>
      </c>
      <c r="B314" s="1">
        <v>45772</v>
      </c>
      <c r="C314" t="s">
        <v>294</v>
      </c>
      <c r="D314" t="s">
        <v>49</v>
      </c>
      <c r="E314" t="s">
        <v>28</v>
      </c>
      <c r="F314" t="s">
        <v>29</v>
      </c>
      <c r="G314" t="s">
        <v>39</v>
      </c>
      <c r="H314" t="s">
        <v>45</v>
      </c>
      <c r="I314">
        <v>14</v>
      </c>
      <c r="J314">
        <v>478.5</v>
      </c>
      <c r="K314">
        <v>6699</v>
      </c>
      <c r="L314" t="s">
        <v>22</v>
      </c>
      <c r="M314" t="s">
        <v>22</v>
      </c>
      <c r="N314" s="1">
        <v>46203</v>
      </c>
      <c r="O314">
        <v>6699</v>
      </c>
    </row>
    <row r="315" spans="1:15" x14ac:dyDescent="0.3">
      <c r="A315" t="s">
        <v>358</v>
      </c>
      <c r="B315" s="1">
        <v>45772</v>
      </c>
      <c r="C315" t="s">
        <v>294</v>
      </c>
      <c r="D315" t="s">
        <v>24</v>
      </c>
      <c r="E315" t="s">
        <v>25</v>
      </c>
      <c r="F315" t="s">
        <v>29</v>
      </c>
      <c r="G315" t="s">
        <v>39</v>
      </c>
      <c r="H315" t="s">
        <v>40</v>
      </c>
      <c r="I315">
        <v>14</v>
      </c>
      <c r="J315">
        <v>819.36</v>
      </c>
      <c r="K315">
        <v>11471.04</v>
      </c>
      <c r="L315" t="s">
        <v>22</v>
      </c>
      <c r="M315" t="s">
        <v>22</v>
      </c>
      <c r="N315" s="1">
        <v>46203</v>
      </c>
      <c r="O315">
        <v>11471.04</v>
      </c>
    </row>
    <row r="316" spans="1:15" x14ac:dyDescent="0.3">
      <c r="A316" t="s">
        <v>359</v>
      </c>
      <c r="B316" s="1">
        <v>45772</v>
      </c>
      <c r="C316" t="s">
        <v>294</v>
      </c>
      <c r="D316" t="s">
        <v>49</v>
      </c>
      <c r="E316" t="s">
        <v>28</v>
      </c>
      <c r="F316" t="s">
        <v>38</v>
      </c>
      <c r="G316" t="s">
        <v>39</v>
      </c>
      <c r="H316" t="s">
        <v>21</v>
      </c>
      <c r="I316">
        <v>2</v>
      </c>
      <c r="J316">
        <v>545.26</v>
      </c>
      <c r="K316">
        <v>1090.52</v>
      </c>
      <c r="L316" t="s">
        <v>30</v>
      </c>
      <c r="M316" t="s">
        <v>31</v>
      </c>
      <c r="N316" s="1">
        <v>45821</v>
      </c>
      <c r="O316">
        <v>1090.52</v>
      </c>
    </row>
    <row r="317" spans="1:15" x14ac:dyDescent="0.3">
      <c r="A317" t="s">
        <v>360</v>
      </c>
      <c r="B317" s="1">
        <v>45773</v>
      </c>
      <c r="C317" t="s">
        <v>294</v>
      </c>
      <c r="D317" t="s">
        <v>49</v>
      </c>
      <c r="E317" t="s">
        <v>28</v>
      </c>
      <c r="F317" t="s">
        <v>29</v>
      </c>
      <c r="G317" t="s">
        <v>20</v>
      </c>
      <c r="H317" t="s">
        <v>21</v>
      </c>
      <c r="I317">
        <v>10</v>
      </c>
      <c r="J317">
        <v>522.54999999999995</v>
      </c>
      <c r="K317">
        <v>5225.5</v>
      </c>
      <c r="L317" t="s">
        <v>30</v>
      </c>
      <c r="M317" t="s">
        <v>80</v>
      </c>
      <c r="N317" s="1">
        <v>46090</v>
      </c>
      <c r="O317">
        <v>5225.5</v>
      </c>
    </row>
    <row r="318" spans="1:15" x14ac:dyDescent="0.3">
      <c r="A318" t="s">
        <v>361</v>
      </c>
      <c r="B318" s="1">
        <v>45773</v>
      </c>
      <c r="C318" t="s">
        <v>294</v>
      </c>
      <c r="D318" t="s">
        <v>24</v>
      </c>
      <c r="E318" t="s">
        <v>25</v>
      </c>
      <c r="F318" t="s">
        <v>19</v>
      </c>
      <c r="G318" t="s">
        <v>39</v>
      </c>
      <c r="H318" t="s">
        <v>21</v>
      </c>
      <c r="I318">
        <v>14</v>
      </c>
      <c r="J318">
        <v>859.24</v>
      </c>
      <c r="K318">
        <v>12029.36</v>
      </c>
      <c r="L318" t="s">
        <v>22</v>
      </c>
      <c r="M318" t="s">
        <v>22</v>
      </c>
      <c r="N318" s="1">
        <v>46203</v>
      </c>
      <c r="O318">
        <v>12029.36</v>
      </c>
    </row>
    <row r="319" spans="1:15" x14ac:dyDescent="0.3">
      <c r="A319" t="s">
        <v>362</v>
      </c>
      <c r="B319" s="1">
        <v>45773</v>
      </c>
      <c r="C319" t="s">
        <v>294</v>
      </c>
      <c r="D319" t="s">
        <v>24</v>
      </c>
      <c r="E319" t="s">
        <v>28</v>
      </c>
      <c r="F319" t="s">
        <v>29</v>
      </c>
      <c r="G319" t="s">
        <v>26</v>
      </c>
      <c r="H319" t="s">
        <v>40</v>
      </c>
      <c r="I319">
        <v>14</v>
      </c>
      <c r="J319">
        <v>820.35</v>
      </c>
      <c r="K319">
        <v>11484.9</v>
      </c>
      <c r="L319" t="s">
        <v>22</v>
      </c>
      <c r="M319" t="s">
        <v>22</v>
      </c>
      <c r="N319" s="1">
        <v>46203</v>
      </c>
      <c r="O319">
        <v>11484.9</v>
      </c>
    </row>
    <row r="320" spans="1:15" x14ac:dyDescent="0.3">
      <c r="A320" t="s">
        <v>363</v>
      </c>
      <c r="B320" s="1">
        <v>45773</v>
      </c>
      <c r="C320" t="s">
        <v>294</v>
      </c>
      <c r="D320" t="s">
        <v>24</v>
      </c>
      <c r="E320" t="s">
        <v>18</v>
      </c>
      <c r="F320" t="s">
        <v>38</v>
      </c>
      <c r="G320" t="s">
        <v>39</v>
      </c>
      <c r="H320" t="s">
        <v>21</v>
      </c>
      <c r="I320">
        <v>2</v>
      </c>
      <c r="J320">
        <v>927.6</v>
      </c>
      <c r="K320">
        <v>1855.2</v>
      </c>
      <c r="L320" t="s">
        <v>30</v>
      </c>
      <c r="M320" t="s">
        <v>31</v>
      </c>
      <c r="N320" s="1">
        <v>45831</v>
      </c>
      <c r="O320">
        <v>1855.2</v>
      </c>
    </row>
    <row r="321" spans="1:15" x14ac:dyDescent="0.3">
      <c r="A321" t="s">
        <v>364</v>
      </c>
      <c r="B321" s="1">
        <v>45773</v>
      </c>
      <c r="C321" t="s">
        <v>294</v>
      </c>
      <c r="D321" t="s">
        <v>24</v>
      </c>
      <c r="E321" t="s">
        <v>25</v>
      </c>
      <c r="F321" t="s">
        <v>19</v>
      </c>
      <c r="G321" t="s">
        <v>39</v>
      </c>
      <c r="H321" t="s">
        <v>21</v>
      </c>
      <c r="I321">
        <v>10</v>
      </c>
      <c r="J321">
        <v>937.75</v>
      </c>
      <c r="K321">
        <v>9377.5</v>
      </c>
      <c r="L321" t="s">
        <v>30</v>
      </c>
      <c r="M321" t="s">
        <v>80</v>
      </c>
      <c r="N321" s="1">
        <v>46087</v>
      </c>
      <c r="O321">
        <v>9377.5</v>
      </c>
    </row>
    <row r="322" spans="1:15" x14ac:dyDescent="0.3">
      <c r="A322" t="s">
        <v>365</v>
      </c>
      <c r="B322" s="1">
        <v>45773</v>
      </c>
      <c r="C322" t="s">
        <v>294</v>
      </c>
      <c r="D322" t="s">
        <v>17</v>
      </c>
      <c r="E322" t="s">
        <v>28</v>
      </c>
      <c r="F322" t="s">
        <v>29</v>
      </c>
      <c r="G322" t="s">
        <v>39</v>
      </c>
      <c r="H322" t="s">
        <v>21</v>
      </c>
      <c r="I322">
        <v>14</v>
      </c>
      <c r="J322">
        <v>1502.78</v>
      </c>
      <c r="K322">
        <v>21038.92</v>
      </c>
      <c r="L322" t="s">
        <v>22</v>
      </c>
      <c r="M322" t="s">
        <v>22</v>
      </c>
      <c r="N322" s="1">
        <v>46203</v>
      </c>
      <c r="O322">
        <v>21038.92</v>
      </c>
    </row>
    <row r="323" spans="1:15" x14ac:dyDescent="0.3">
      <c r="A323" t="s">
        <v>366</v>
      </c>
      <c r="B323" s="1">
        <v>45774</v>
      </c>
      <c r="C323" t="s">
        <v>294</v>
      </c>
      <c r="D323" t="s">
        <v>49</v>
      </c>
      <c r="E323" t="s">
        <v>18</v>
      </c>
      <c r="F323" t="s">
        <v>33</v>
      </c>
      <c r="G323" t="s">
        <v>20</v>
      </c>
      <c r="H323" t="s">
        <v>21</v>
      </c>
      <c r="I323">
        <v>14</v>
      </c>
      <c r="J323">
        <v>462.91</v>
      </c>
      <c r="K323">
        <v>6480.74</v>
      </c>
      <c r="L323" t="s">
        <v>22</v>
      </c>
      <c r="M323" t="s">
        <v>22</v>
      </c>
      <c r="N323" s="1">
        <v>46203</v>
      </c>
      <c r="O323">
        <v>6480.74</v>
      </c>
    </row>
    <row r="324" spans="1:15" x14ac:dyDescent="0.3">
      <c r="A324" t="s">
        <v>367</v>
      </c>
      <c r="B324" s="1">
        <v>45774</v>
      </c>
      <c r="C324" t="s">
        <v>294</v>
      </c>
      <c r="D324" t="s">
        <v>24</v>
      </c>
      <c r="E324" t="s">
        <v>28</v>
      </c>
      <c r="F324" t="s">
        <v>29</v>
      </c>
      <c r="G324" t="s">
        <v>20</v>
      </c>
      <c r="H324" t="s">
        <v>40</v>
      </c>
      <c r="I324">
        <v>14</v>
      </c>
      <c r="J324">
        <v>959.89</v>
      </c>
      <c r="K324">
        <v>13438.46</v>
      </c>
      <c r="L324" t="s">
        <v>30</v>
      </c>
      <c r="M324" t="s">
        <v>36</v>
      </c>
      <c r="N324" s="1">
        <v>46202</v>
      </c>
      <c r="O324">
        <v>13438.46</v>
      </c>
    </row>
    <row r="325" spans="1:15" x14ac:dyDescent="0.3">
      <c r="A325" t="s">
        <v>368</v>
      </c>
      <c r="B325" s="1">
        <v>45774</v>
      </c>
      <c r="C325" t="s">
        <v>294</v>
      </c>
      <c r="D325" t="s">
        <v>49</v>
      </c>
      <c r="E325" t="s">
        <v>18</v>
      </c>
      <c r="F325" t="s">
        <v>38</v>
      </c>
      <c r="G325" t="s">
        <v>39</v>
      </c>
      <c r="H325" t="s">
        <v>21</v>
      </c>
      <c r="I325">
        <v>14</v>
      </c>
      <c r="J325">
        <v>471.58</v>
      </c>
      <c r="K325">
        <v>6602.12</v>
      </c>
      <c r="L325" t="s">
        <v>22</v>
      </c>
      <c r="M325" t="s">
        <v>22</v>
      </c>
      <c r="N325" s="1">
        <v>46203</v>
      </c>
      <c r="O325">
        <v>6602.12</v>
      </c>
    </row>
    <row r="326" spans="1:15" x14ac:dyDescent="0.3">
      <c r="A326" t="s">
        <v>369</v>
      </c>
      <c r="B326" s="1">
        <v>45775</v>
      </c>
      <c r="C326" t="s">
        <v>294</v>
      </c>
      <c r="D326" t="s">
        <v>49</v>
      </c>
      <c r="E326" t="s">
        <v>50</v>
      </c>
      <c r="F326" t="s">
        <v>29</v>
      </c>
      <c r="G326" t="s">
        <v>20</v>
      </c>
      <c r="H326" t="s">
        <v>34</v>
      </c>
      <c r="I326">
        <v>14</v>
      </c>
      <c r="J326">
        <v>518.54999999999995</v>
      </c>
      <c r="K326">
        <v>7259.7</v>
      </c>
      <c r="L326" t="s">
        <v>22</v>
      </c>
      <c r="M326" t="s">
        <v>22</v>
      </c>
      <c r="N326" s="1">
        <v>46203</v>
      </c>
      <c r="O326">
        <v>7259.7</v>
      </c>
    </row>
    <row r="327" spans="1:15" x14ac:dyDescent="0.3">
      <c r="A327" t="s">
        <v>370</v>
      </c>
      <c r="B327" s="1">
        <v>45775</v>
      </c>
      <c r="C327" t="s">
        <v>294</v>
      </c>
      <c r="D327" t="s">
        <v>49</v>
      </c>
      <c r="E327" t="s">
        <v>18</v>
      </c>
      <c r="F327" t="s">
        <v>29</v>
      </c>
      <c r="G327" t="s">
        <v>20</v>
      </c>
      <c r="H327" t="s">
        <v>21</v>
      </c>
      <c r="I327">
        <v>14</v>
      </c>
      <c r="J327">
        <v>546.88</v>
      </c>
      <c r="K327">
        <v>7656.32</v>
      </c>
      <c r="L327" t="s">
        <v>22</v>
      </c>
      <c r="M327" t="s">
        <v>22</v>
      </c>
      <c r="N327" s="1">
        <v>46203</v>
      </c>
      <c r="O327">
        <v>7656.32</v>
      </c>
    </row>
    <row r="328" spans="1:15" x14ac:dyDescent="0.3">
      <c r="A328" t="s">
        <v>371</v>
      </c>
      <c r="B328" s="1">
        <v>45775</v>
      </c>
      <c r="C328" t="s">
        <v>294</v>
      </c>
      <c r="D328" t="s">
        <v>24</v>
      </c>
      <c r="E328" t="s">
        <v>50</v>
      </c>
      <c r="F328" t="s">
        <v>29</v>
      </c>
      <c r="G328" t="s">
        <v>39</v>
      </c>
      <c r="H328" t="s">
        <v>45</v>
      </c>
      <c r="I328">
        <v>14</v>
      </c>
      <c r="J328">
        <v>983.95</v>
      </c>
      <c r="K328">
        <v>13775.3</v>
      </c>
      <c r="L328" t="s">
        <v>22</v>
      </c>
      <c r="M328" t="s">
        <v>22</v>
      </c>
      <c r="N328" s="1">
        <v>46203</v>
      </c>
      <c r="O328">
        <v>13775.3</v>
      </c>
    </row>
    <row r="329" spans="1:15" x14ac:dyDescent="0.3">
      <c r="A329" t="s">
        <v>372</v>
      </c>
      <c r="B329" s="1">
        <v>45775</v>
      </c>
      <c r="C329" t="s">
        <v>294</v>
      </c>
      <c r="D329" t="s">
        <v>17</v>
      </c>
      <c r="E329" t="s">
        <v>18</v>
      </c>
      <c r="F329" t="s">
        <v>51</v>
      </c>
      <c r="G329" t="s">
        <v>39</v>
      </c>
      <c r="H329" t="s">
        <v>34</v>
      </c>
      <c r="I329">
        <v>14</v>
      </c>
      <c r="J329">
        <v>1426.19</v>
      </c>
      <c r="K329">
        <v>19966.66</v>
      </c>
      <c r="L329" t="s">
        <v>22</v>
      </c>
      <c r="M329" t="s">
        <v>22</v>
      </c>
      <c r="N329" s="1">
        <v>46203</v>
      </c>
      <c r="O329">
        <v>19966.66</v>
      </c>
    </row>
    <row r="330" spans="1:15" x14ac:dyDescent="0.3">
      <c r="A330" t="s">
        <v>373</v>
      </c>
      <c r="B330" s="1">
        <v>45776</v>
      </c>
      <c r="C330" t="s">
        <v>294</v>
      </c>
      <c r="D330" t="s">
        <v>24</v>
      </c>
      <c r="E330" t="s">
        <v>28</v>
      </c>
      <c r="F330" t="s">
        <v>29</v>
      </c>
      <c r="G330" t="s">
        <v>20</v>
      </c>
      <c r="H330" t="s">
        <v>34</v>
      </c>
      <c r="I330">
        <v>14</v>
      </c>
      <c r="J330">
        <v>853.53</v>
      </c>
      <c r="K330">
        <v>11949.42</v>
      </c>
      <c r="L330" t="s">
        <v>22</v>
      </c>
      <c r="M330" t="s">
        <v>22</v>
      </c>
      <c r="N330" s="1">
        <v>46203</v>
      </c>
      <c r="O330">
        <v>11949.42</v>
      </c>
    </row>
    <row r="331" spans="1:15" x14ac:dyDescent="0.3">
      <c r="A331" t="s">
        <v>374</v>
      </c>
      <c r="B331" s="1">
        <v>45777</v>
      </c>
      <c r="C331" t="s">
        <v>294</v>
      </c>
      <c r="D331" t="s">
        <v>24</v>
      </c>
      <c r="E331" t="s">
        <v>18</v>
      </c>
      <c r="F331" t="s">
        <v>51</v>
      </c>
      <c r="G331" t="s">
        <v>20</v>
      </c>
      <c r="H331" t="s">
        <v>21</v>
      </c>
      <c r="I331">
        <v>14</v>
      </c>
      <c r="J331">
        <v>924.39</v>
      </c>
      <c r="K331">
        <v>12941.46</v>
      </c>
      <c r="L331" t="s">
        <v>22</v>
      </c>
      <c r="M331" t="s">
        <v>22</v>
      </c>
      <c r="N331" s="1">
        <v>46203</v>
      </c>
      <c r="O331">
        <v>12941.46</v>
      </c>
    </row>
    <row r="332" spans="1:15" x14ac:dyDescent="0.3">
      <c r="A332" t="s">
        <v>375</v>
      </c>
      <c r="B332" s="1">
        <v>45777</v>
      </c>
      <c r="C332" t="s">
        <v>294</v>
      </c>
      <c r="D332" t="s">
        <v>49</v>
      </c>
      <c r="E332" t="s">
        <v>50</v>
      </c>
      <c r="F332" t="s">
        <v>19</v>
      </c>
      <c r="G332" t="s">
        <v>39</v>
      </c>
      <c r="H332" t="s">
        <v>34</v>
      </c>
      <c r="I332">
        <v>14</v>
      </c>
      <c r="J332">
        <v>513.99</v>
      </c>
      <c r="K332">
        <v>7195.86</v>
      </c>
      <c r="L332" t="s">
        <v>22</v>
      </c>
      <c r="M332" t="s">
        <v>22</v>
      </c>
      <c r="N332" s="1">
        <v>46203</v>
      </c>
      <c r="O332">
        <v>7195.86</v>
      </c>
    </row>
    <row r="333" spans="1:15" x14ac:dyDescent="0.3">
      <c r="A333" t="s">
        <v>376</v>
      </c>
      <c r="B333" s="1">
        <v>45778</v>
      </c>
      <c r="C333" t="s">
        <v>377</v>
      </c>
      <c r="D333" t="s">
        <v>17</v>
      </c>
      <c r="E333" t="s">
        <v>18</v>
      </c>
      <c r="F333" t="s">
        <v>19</v>
      </c>
      <c r="G333" t="s">
        <v>20</v>
      </c>
      <c r="H333" t="s">
        <v>34</v>
      </c>
      <c r="I333">
        <v>14</v>
      </c>
      <c r="J333">
        <v>1643.57</v>
      </c>
      <c r="K333">
        <v>23009.98</v>
      </c>
      <c r="L333" t="s">
        <v>22</v>
      </c>
      <c r="M333" t="s">
        <v>22</v>
      </c>
      <c r="N333" s="1">
        <v>46203</v>
      </c>
      <c r="O333">
        <v>23009.98</v>
      </c>
    </row>
    <row r="334" spans="1:15" x14ac:dyDescent="0.3">
      <c r="A334" t="s">
        <v>378</v>
      </c>
      <c r="B334" s="1">
        <v>45778</v>
      </c>
      <c r="C334" t="s">
        <v>377</v>
      </c>
      <c r="D334" t="s">
        <v>24</v>
      </c>
      <c r="E334" t="s">
        <v>18</v>
      </c>
      <c r="F334" t="s">
        <v>33</v>
      </c>
      <c r="G334" t="s">
        <v>20</v>
      </c>
      <c r="H334" t="s">
        <v>40</v>
      </c>
      <c r="I334">
        <v>14</v>
      </c>
      <c r="J334">
        <v>944.47</v>
      </c>
      <c r="K334">
        <v>13222.58</v>
      </c>
      <c r="L334" t="s">
        <v>22</v>
      </c>
      <c r="M334" t="s">
        <v>22</v>
      </c>
      <c r="N334" s="1">
        <v>46203</v>
      </c>
      <c r="O334">
        <v>13222.58</v>
      </c>
    </row>
    <row r="335" spans="1:15" x14ac:dyDescent="0.3">
      <c r="A335" t="s">
        <v>379</v>
      </c>
      <c r="B335" s="1">
        <v>45779</v>
      </c>
      <c r="C335" t="s">
        <v>377</v>
      </c>
      <c r="D335" t="s">
        <v>49</v>
      </c>
      <c r="E335" t="s">
        <v>18</v>
      </c>
      <c r="F335" t="s">
        <v>51</v>
      </c>
      <c r="G335" t="s">
        <v>39</v>
      </c>
      <c r="H335" t="s">
        <v>45</v>
      </c>
      <c r="I335">
        <v>14</v>
      </c>
      <c r="J335">
        <v>460.5</v>
      </c>
      <c r="K335">
        <v>6447</v>
      </c>
      <c r="L335" t="s">
        <v>22</v>
      </c>
      <c r="M335" t="s">
        <v>22</v>
      </c>
      <c r="N335" s="1">
        <v>46203</v>
      </c>
      <c r="O335">
        <v>6447</v>
      </c>
    </row>
    <row r="336" spans="1:15" x14ac:dyDescent="0.3">
      <c r="A336" t="s">
        <v>380</v>
      </c>
      <c r="B336" s="1">
        <v>45779</v>
      </c>
      <c r="C336" t="s">
        <v>377</v>
      </c>
      <c r="D336" t="s">
        <v>24</v>
      </c>
      <c r="E336" t="s">
        <v>25</v>
      </c>
      <c r="F336" t="s">
        <v>29</v>
      </c>
      <c r="G336" t="s">
        <v>20</v>
      </c>
      <c r="H336" t="s">
        <v>21</v>
      </c>
      <c r="I336">
        <v>14</v>
      </c>
      <c r="J336">
        <v>929.33</v>
      </c>
      <c r="K336">
        <v>13010.62</v>
      </c>
      <c r="L336" t="s">
        <v>22</v>
      </c>
      <c r="M336" t="s">
        <v>22</v>
      </c>
      <c r="N336" s="1">
        <v>46203</v>
      </c>
      <c r="O336">
        <v>13010.62</v>
      </c>
    </row>
    <row r="337" spans="1:15" x14ac:dyDescent="0.3">
      <c r="A337" t="s">
        <v>381</v>
      </c>
      <c r="B337" s="1">
        <v>45779</v>
      </c>
      <c r="C337" t="s">
        <v>377</v>
      </c>
      <c r="D337" t="s">
        <v>49</v>
      </c>
      <c r="E337" t="s">
        <v>25</v>
      </c>
      <c r="F337" t="s">
        <v>33</v>
      </c>
      <c r="G337" t="s">
        <v>39</v>
      </c>
      <c r="H337" t="s">
        <v>40</v>
      </c>
      <c r="I337">
        <v>14</v>
      </c>
      <c r="J337">
        <v>453.36</v>
      </c>
      <c r="K337">
        <v>6347.04</v>
      </c>
      <c r="L337" t="s">
        <v>22</v>
      </c>
      <c r="M337" t="s">
        <v>22</v>
      </c>
      <c r="N337" s="1">
        <v>46203</v>
      </c>
      <c r="O337">
        <v>6347.04</v>
      </c>
    </row>
    <row r="338" spans="1:15" x14ac:dyDescent="0.3">
      <c r="A338" t="s">
        <v>382</v>
      </c>
      <c r="B338" s="1">
        <v>45780</v>
      </c>
      <c r="C338" t="s">
        <v>377</v>
      </c>
      <c r="D338" t="s">
        <v>24</v>
      </c>
      <c r="E338" t="s">
        <v>25</v>
      </c>
      <c r="F338" t="s">
        <v>19</v>
      </c>
      <c r="G338" t="s">
        <v>39</v>
      </c>
      <c r="H338" t="s">
        <v>40</v>
      </c>
      <c r="I338">
        <v>14</v>
      </c>
      <c r="J338">
        <v>923.65</v>
      </c>
      <c r="K338">
        <v>12931.1</v>
      </c>
      <c r="L338" t="s">
        <v>22</v>
      </c>
      <c r="M338" t="s">
        <v>22</v>
      </c>
      <c r="N338" s="1">
        <v>46203</v>
      </c>
      <c r="O338">
        <v>12931.1</v>
      </c>
    </row>
    <row r="339" spans="1:15" x14ac:dyDescent="0.3">
      <c r="A339" t="s">
        <v>383</v>
      </c>
      <c r="B339" s="1">
        <v>45780</v>
      </c>
      <c r="C339" t="s">
        <v>377</v>
      </c>
      <c r="D339" t="s">
        <v>49</v>
      </c>
      <c r="E339" t="s">
        <v>25</v>
      </c>
      <c r="F339" t="s">
        <v>19</v>
      </c>
      <c r="G339" t="s">
        <v>39</v>
      </c>
      <c r="H339" t="s">
        <v>45</v>
      </c>
      <c r="I339">
        <v>6</v>
      </c>
      <c r="J339">
        <v>514.69000000000005</v>
      </c>
      <c r="K339">
        <v>3088.14</v>
      </c>
      <c r="L339" t="s">
        <v>30</v>
      </c>
      <c r="M339" t="s">
        <v>80</v>
      </c>
      <c r="N339" s="1">
        <v>45969</v>
      </c>
      <c r="O339">
        <v>3088.14</v>
      </c>
    </row>
    <row r="340" spans="1:15" x14ac:dyDescent="0.3">
      <c r="A340" t="s">
        <v>384</v>
      </c>
      <c r="B340" s="1">
        <v>45781</v>
      </c>
      <c r="C340" t="s">
        <v>377</v>
      </c>
      <c r="D340" t="s">
        <v>24</v>
      </c>
      <c r="E340" t="s">
        <v>50</v>
      </c>
      <c r="F340" t="s">
        <v>29</v>
      </c>
      <c r="G340" t="s">
        <v>39</v>
      </c>
      <c r="H340" t="s">
        <v>40</v>
      </c>
      <c r="I340">
        <v>14</v>
      </c>
      <c r="J340">
        <v>962.67</v>
      </c>
      <c r="K340">
        <v>13477.38</v>
      </c>
      <c r="L340" t="s">
        <v>22</v>
      </c>
      <c r="M340" t="s">
        <v>22</v>
      </c>
      <c r="N340" s="1">
        <v>46203</v>
      </c>
      <c r="O340">
        <v>13477.38</v>
      </c>
    </row>
    <row r="341" spans="1:15" x14ac:dyDescent="0.3">
      <c r="A341" t="s">
        <v>385</v>
      </c>
      <c r="B341" s="1">
        <v>45781</v>
      </c>
      <c r="C341" t="s">
        <v>377</v>
      </c>
      <c r="D341" t="s">
        <v>24</v>
      </c>
      <c r="E341" t="s">
        <v>25</v>
      </c>
      <c r="F341" t="s">
        <v>19</v>
      </c>
      <c r="G341" t="s">
        <v>39</v>
      </c>
      <c r="H341" t="s">
        <v>40</v>
      </c>
      <c r="I341">
        <v>14</v>
      </c>
      <c r="J341">
        <v>853.15</v>
      </c>
      <c r="K341">
        <v>11944.1</v>
      </c>
      <c r="L341" t="s">
        <v>22</v>
      </c>
      <c r="M341" t="s">
        <v>22</v>
      </c>
      <c r="N341" s="1">
        <v>46203</v>
      </c>
      <c r="O341">
        <v>11944.1</v>
      </c>
    </row>
    <row r="342" spans="1:15" x14ac:dyDescent="0.3">
      <c r="A342" t="s">
        <v>386</v>
      </c>
      <c r="B342" s="1">
        <v>45783</v>
      </c>
      <c r="C342" t="s">
        <v>377</v>
      </c>
      <c r="D342" t="s">
        <v>49</v>
      </c>
      <c r="E342" t="s">
        <v>50</v>
      </c>
      <c r="F342" t="s">
        <v>19</v>
      </c>
      <c r="G342" t="s">
        <v>39</v>
      </c>
      <c r="H342" t="s">
        <v>21</v>
      </c>
      <c r="I342">
        <v>14</v>
      </c>
      <c r="J342">
        <v>475.15</v>
      </c>
      <c r="K342">
        <v>6652.1</v>
      </c>
      <c r="L342" t="s">
        <v>22</v>
      </c>
      <c r="M342" t="s">
        <v>22</v>
      </c>
      <c r="N342" s="1">
        <v>46203</v>
      </c>
      <c r="O342">
        <v>6652.1</v>
      </c>
    </row>
    <row r="343" spans="1:15" x14ac:dyDescent="0.3">
      <c r="A343" t="s">
        <v>387</v>
      </c>
      <c r="B343" s="1">
        <v>45783</v>
      </c>
      <c r="C343" t="s">
        <v>377</v>
      </c>
      <c r="D343" t="s">
        <v>24</v>
      </c>
      <c r="E343" t="s">
        <v>25</v>
      </c>
      <c r="F343" t="s">
        <v>38</v>
      </c>
      <c r="G343" t="s">
        <v>39</v>
      </c>
      <c r="H343" t="s">
        <v>21</v>
      </c>
      <c r="I343">
        <v>14</v>
      </c>
      <c r="J343">
        <v>831.38</v>
      </c>
      <c r="K343">
        <v>11639.32</v>
      </c>
      <c r="L343" t="s">
        <v>22</v>
      </c>
      <c r="M343" t="s">
        <v>22</v>
      </c>
      <c r="N343" s="1">
        <v>46203</v>
      </c>
      <c r="O343">
        <v>11639.32</v>
      </c>
    </row>
    <row r="344" spans="1:15" x14ac:dyDescent="0.3">
      <c r="A344" t="s">
        <v>388</v>
      </c>
      <c r="B344" s="1">
        <v>45784</v>
      </c>
      <c r="C344" t="s">
        <v>377</v>
      </c>
      <c r="D344" t="s">
        <v>49</v>
      </c>
      <c r="E344" t="s">
        <v>25</v>
      </c>
      <c r="F344" t="s">
        <v>19</v>
      </c>
      <c r="G344" t="s">
        <v>39</v>
      </c>
      <c r="H344" t="s">
        <v>40</v>
      </c>
      <c r="I344">
        <v>14</v>
      </c>
      <c r="J344">
        <v>510.61</v>
      </c>
      <c r="K344">
        <v>7148.54</v>
      </c>
      <c r="L344" t="s">
        <v>22</v>
      </c>
      <c r="M344" t="s">
        <v>22</v>
      </c>
      <c r="N344" s="1">
        <v>46203</v>
      </c>
      <c r="O344">
        <v>7148.54</v>
      </c>
    </row>
    <row r="345" spans="1:15" x14ac:dyDescent="0.3">
      <c r="A345" t="s">
        <v>389</v>
      </c>
      <c r="B345" s="1">
        <v>45784</v>
      </c>
      <c r="C345" t="s">
        <v>377</v>
      </c>
      <c r="D345" t="s">
        <v>24</v>
      </c>
      <c r="E345" t="s">
        <v>25</v>
      </c>
      <c r="F345" t="s">
        <v>38</v>
      </c>
      <c r="G345" t="s">
        <v>20</v>
      </c>
      <c r="H345" t="s">
        <v>21</v>
      </c>
      <c r="I345">
        <v>14</v>
      </c>
      <c r="J345">
        <v>817.75</v>
      </c>
      <c r="K345">
        <v>11448.5</v>
      </c>
      <c r="L345" t="s">
        <v>22</v>
      </c>
      <c r="M345" t="s">
        <v>22</v>
      </c>
      <c r="N345" s="1">
        <v>46203</v>
      </c>
      <c r="O345">
        <v>11448.5</v>
      </c>
    </row>
    <row r="346" spans="1:15" x14ac:dyDescent="0.3">
      <c r="A346" t="s">
        <v>390</v>
      </c>
      <c r="B346" s="1">
        <v>45786</v>
      </c>
      <c r="C346" t="s">
        <v>377</v>
      </c>
      <c r="D346" t="s">
        <v>24</v>
      </c>
      <c r="E346" t="s">
        <v>25</v>
      </c>
      <c r="F346" t="s">
        <v>51</v>
      </c>
      <c r="G346" t="s">
        <v>20</v>
      </c>
      <c r="H346" t="s">
        <v>40</v>
      </c>
      <c r="I346">
        <v>14</v>
      </c>
      <c r="J346">
        <v>853.48</v>
      </c>
      <c r="K346">
        <v>11948.72</v>
      </c>
      <c r="L346" t="s">
        <v>22</v>
      </c>
      <c r="M346" t="s">
        <v>22</v>
      </c>
      <c r="N346" s="1">
        <v>46203</v>
      </c>
      <c r="O346">
        <v>11948.72</v>
      </c>
    </row>
    <row r="347" spans="1:15" x14ac:dyDescent="0.3">
      <c r="A347" t="s">
        <v>391</v>
      </c>
      <c r="B347" s="1">
        <v>45787</v>
      </c>
      <c r="C347" t="s">
        <v>377</v>
      </c>
      <c r="D347" t="s">
        <v>17</v>
      </c>
      <c r="E347" t="s">
        <v>25</v>
      </c>
      <c r="F347" t="s">
        <v>29</v>
      </c>
      <c r="G347" t="s">
        <v>39</v>
      </c>
      <c r="H347" t="s">
        <v>40</v>
      </c>
      <c r="I347">
        <v>14</v>
      </c>
      <c r="J347">
        <v>1528.95</v>
      </c>
      <c r="K347">
        <v>21405.3</v>
      </c>
      <c r="L347" t="s">
        <v>22</v>
      </c>
      <c r="M347" t="s">
        <v>22</v>
      </c>
      <c r="N347" s="1">
        <v>46203</v>
      </c>
      <c r="O347">
        <v>21405.3</v>
      </c>
    </row>
    <row r="348" spans="1:15" x14ac:dyDescent="0.3">
      <c r="A348" t="s">
        <v>392</v>
      </c>
      <c r="B348" s="1">
        <v>45788</v>
      </c>
      <c r="C348" t="s">
        <v>377</v>
      </c>
      <c r="D348" t="s">
        <v>17</v>
      </c>
      <c r="E348" t="s">
        <v>18</v>
      </c>
      <c r="F348" t="s">
        <v>29</v>
      </c>
      <c r="G348" t="s">
        <v>39</v>
      </c>
      <c r="H348" t="s">
        <v>45</v>
      </c>
      <c r="I348">
        <v>14</v>
      </c>
      <c r="J348">
        <v>1642.6</v>
      </c>
      <c r="K348">
        <v>22996.400000000001</v>
      </c>
      <c r="L348" t="s">
        <v>22</v>
      </c>
      <c r="M348" t="s">
        <v>22</v>
      </c>
      <c r="N348" s="1">
        <v>46203</v>
      </c>
      <c r="O348">
        <v>22996.400000000001</v>
      </c>
    </row>
    <row r="349" spans="1:15" x14ac:dyDescent="0.3">
      <c r="A349" t="s">
        <v>393</v>
      </c>
      <c r="B349" s="1">
        <v>45789</v>
      </c>
      <c r="C349" t="s">
        <v>377</v>
      </c>
      <c r="D349" t="s">
        <v>24</v>
      </c>
      <c r="E349" t="s">
        <v>28</v>
      </c>
      <c r="F349" t="s">
        <v>29</v>
      </c>
      <c r="G349" t="s">
        <v>20</v>
      </c>
      <c r="H349" t="s">
        <v>21</v>
      </c>
      <c r="I349">
        <v>14</v>
      </c>
      <c r="J349">
        <v>890.6</v>
      </c>
      <c r="K349">
        <v>12468.4</v>
      </c>
      <c r="L349" t="s">
        <v>22</v>
      </c>
      <c r="M349" t="s">
        <v>22</v>
      </c>
      <c r="N349" s="1">
        <v>46203</v>
      </c>
      <c r="O349">
        <v>12468.4</v>
      </c>
    </row>
    <row r="350" spans="1:15" x14ac:dyDescent="0.3">
      <c r="A350" t="s">
        <v>394</v>
      </c>
      <c r="B350" s="1">
        <v>45789</v>
      </c>
      <c r="C350" t="s">
        <v>377</v>
      </c>
      <c r="D350" t="s">
        <v>24</v>
      </c>
      <c r="E350" t="s">
        <v>25</v>
      </c>
      <c r="F350" t="s">
        <v>38</v>
      </c>
      <c r="G350" t="s">
        <v>39</v>
      </c>
      <c r="H350" t="s">
        <v>21</v>
      </c>
      <c r="I350">
        <v>14</v>
      </c>
      <c r="J350">
        <v>893.97</v>
      </c>
      <c r="K350">
        <v>12515.58</v>
      </c>
      <c r="L350" t="s">
        <v>22</v>
      </c>
      <c r="M350" t="s">
        <v>22</v>
      </c>
      <c r="N350" s="1">
        <v>46203</v>
      </c>
      <c r="O350">
        <v>12515.58</v>
      </c>
    </row>
    <row r="351" spans="1:15" x14ac:dyDescent="0.3">
      <c r="A351" t="s">
        <v>395</v>
      </c>
      <c r="B351" s="1">
        <v>45790</v>
      </c>
      <c r="C351" t="s">
        <v>377</v>
      </c>
      <c r="D351" t="s">
        <v>49</v>
      </c>
      <c r="E351" t="s">
        <v>25</v>
      </c>
      <c r="F351" t="s">
        <v>19</v>
      </c>
      <c r="G351" t="s">
        <v>39</v>
      </c>
      <c r="H351" t="s">
        <v>21</v>
      </c>
      <c r="I351">
        <v>14</v>
      </c>
      <c r="J351">
        <v>484.05</v>
      </c>
      <c r="K351">
        <v>6776.7</v>
      </c>
      <c r="L351" t="s">
        <v>22</v>
      </c>
      <c r="M351" t="s">
        <v>22</v>
      </c>
      <c r="N351" s="1">
        <v>46203</v>
      </c>
      <c r="O351">
        <v>6776.7</v>
      </c>
    </row>
    <row r="352" spans="1:15" x14ac:dyDescent="0.3">
      <c r="A352" t="s">
        <v>396</v>
      </c>
      <c r="B352" s="1">
        <v>45790</v>
      </c>
      <c r="C352" t="s">
        <v>377</v>
      </c>
      <c r="D352" t="s">
        <v>24</v>
      </c>
      <c r="E352" t="s">
        <v>28</v>
      </c>
      <c r="F352" t="s">
        <v>51</v>
      </c>
      <c r="G352" t="s">
        <v>39</v>
      </c>
      <c r="H352" t="s">
        <v>40</v>
      </c>
      <c r="I352">
        <v>14</v>
      </c>
      <c r="J352">
        <v>883.52</v>
      </c>
      <c r="K352">
        <v>12369.28</v>
      </c>
      <c r="L352" t="s">
        <v>22</v>
      </c>
      <c r="M352" t="s">
        <v>22</v>
      </c>
      <c r="N352" s="1">
        <v>46203</v>
      </c>
      <c r="O352">
        <v>12369.28</v>
      </c>
    </row>
    <row r="353" spans="1:15" x14ac:dyDescent="0.3">
      <c r="A353" t="s">
        <v>397</v>
      </c>
      <c r="B353" s="1">
        <v>45790</v>
      </c>
      <c r="C353" t="s">
        <v>377</v>
      </c>
      <c r="D353" t="s">
        <v>49</v>
      </c>
      <c r="E353" t="s">
        <v>25</v>
      </c>
      <c r="F353" t="s">
        <v>19</v>
      </c>
      <c r="G353" t="s">
        <v>39</v>
      </c>
      <c r="H353" t="s">
        <v>40</v>
      </c>
      <c r="I353">
        <v>14</v>
      </c>
      <c r="J353">
        <v>458.2</v>
      </c>
      <c r="K353">
        <v>6414.8</v>
      </c>
      <c r="L353" t="s">
        <v>22</v>
      </c>
      <c r="M353" t="s">
        <v>22</v>
      </c>
      <c r="N353" s="1">
        <v>46203</v>
      </c>
      <c r="O353">
        <v>6414.8</v>
      </c>
    </row>
    <row r="354" spans="1:15" x14ac:dyDescent="0.3">
      <c r="A354" t="s">
        <v>398</v>
      </c>
      <c r="B354" s="1">
        <v>45790</v>
      </c>
      <c r="C354" t="s">
        <v>377</v>
      </c>
      <c r="D354" t="s">
        <v>49</v>
      </c>
      <c r="E354" t="s">
        <v>18</v>
      </c>
      <c r="F354" t="s">
        <v>51</v>
      </c>
      <c r="G354" t="s">
        <v>39</v>
      </c>
      <c r="H354" t="s">
        <v>34</v>
      </c>
      <c r="I354">
        <v>14</v>
      </c>
      <c r="J354">
        <v>534.49</v>
      </c>
      <c r="K354">
        <v>7482.86</v>
      </c>
      <c r="L354" t="s">
        <v>22</v>
      </c>
      <c r="M354" t="s">
        <v>22</v>
      </c>
      <c r="N354" s="1">
        <v>46203</v>
      </c>
      <c r="O354">
        <v>7482.86</v>
      </c>
    </row>
    <row r="355" spans="1:15" x14ac:dyDescent="0.3">
      <c r="A355" t="s">
        <v>399</v>
      </c>
      <c r="B355" s="1">
        <v>45791</v>
      </c>
      <c r="C355" t="s">
        <v>377</v>
      </c>
      <c r="D355" t="s">
        <v>17</v>
      </c>
      <c r="E355" t="s">
        <v>50</v>
      </c>
      <c r="F355" t="s">
        <v>38</v>
      </c>
      <c r="G355" t="s">
        <v>26</v>
      </c>
      <c r="H355" t="s">
        <v>21</v>
      </c>
      <c r="I355">
        <v>10</v>
      </c>
      <c r="J355">
        <v>1379.44</v>
      </c>
      <c r="K355">
        <v>13794.4</v>
      </c>
      <c r="L355" t="s">
        <v>30</v>
      </c>
      <c r="M355" t="s">
        <v>31</v>
      </c>
      <c r="N355" s="1">
        <v>46089</v>
      </c>
      <c r="O355">
        <v>13794.4</v>
      </c>
    </row>
    <row r="356" spans="1:15" x14ac:dyDescent="0.3">
      <c r="A356" t="s">
        <v>400</v>
      </c>
      <c r="B356" s="1">
        <v>45791</v>
      </c>
      <c r="C356" t="s">
        <v>377</v>
      </c>
      <c r="D356" t="s">
        <v>49</v>
      </c>
      <c r="E356" t="s">
        <v>50</v>
      </c>
      <c r="F356" t="s">
        <v>19</v>
      </c>
      <c r="G356" t="s">
        <v>20</v>
      </c>
      <c r="H356" t="s">
        <v>45</v>
      </c>
      <c r="I356">
        <v>10</v>
      </c>
      <c r="J356">
        <v>531.29999999999995</v>
      </c>
      <c r="K356">
        <v>5313</v>
      </c>
      <c r="L356" t="s">
        <v>30</v>
      </c>
      <c r="M356" t="s">
        <v>36</v>
      </c>
      <c r="N356" s="1">
        <v>46094</v>
      </c>
      <c r="O356">
        <v>5313</v>
      </c>
    </row>
    <row r="357" spans="1:15" x14ac:dyDescent="0.3">
      <c r="A357" t="s">
        <v>401</v>
      </c>
      <c r="B357" s="1">
        <v>45791</v>
      </c>
      <c r="C357" t="s">
        <v>377</v>
      </c>
      <c r="D357" t="s">
        <v>17</v>
      </c>
      <c r="E357" t="s">
        <v>25</v>
      </c>
      <c r="F357" t="s">
        <v>51</v>
      </c>
      <c r="G357" t="s">
        <v>26</v>
      </c>
      <c r="H357" t="s">
        <v>45</v>
      </c>
      <c r="I357">
        <v>14</v>
      </c>
      <c r="J357">
        <v>1384.07</v>
      </c>
      <c r="K357">
        <v>19376.98</v>
      </c>
      <c r="L357" t="s">
        <v>22</v>
      </c>
      <c r="M357" t="s">
        <v>22</v>
      </c>
      <c r="N357" s="1">
        <v>46203</v>
      </c>
      <c r="O357">
        <v>19376.98</v>
      </c>
    </row>
    <row r="358" spans="1:15" x14ac:dyDescent="0.3">
      <c r="A358" t="s">
        <v>402</v>
      </c>
      <c r="B358" s="1">
        <v>45792</v>
      </c>
      <c r="C358" t="s">
        <v>377</v>
      </c>
      <c r="D358" t="s">
        <v>49</v>
      </c>
      <c r="E358" t="s">
        <v>28</v>
      </c>
      <c r="F358" t="s">
        <v>19</v>
      </c>
      <c r="G358" t="s">
        <v>39</v>
      </c>
      <c r="H358" t="s">
        <v>40</v>
      </c>
      <c r="I358">
        <v>10</v>
      </c>
      <c r="J358">
        <v>500.77</v>
      </c>
      <c r="K358">
        <v>5007.7</v>
      </c>
      <c r="L358" t="s">
        <v>30</v>
      </c>
      <c r="M358" t="s">
        <v>36</v>
      </c>
      <c r="N358" s="1">
        <v>46098</v>
      </c>
      <c r="O358">
        <v>5007.7</v>
      </c>
    </row>
    <row r="359" spans="1:15" x14ac:dyDescent="0.3">
      <c r="A359" t="s">
        <v>403</v>
      </c>
      <c r="B359" s="1">
        <v>45792</v>
      </c>
      <c r="C359" t="s">
        <v>377</v>
      </c>
      <c r="D359" t="s">
        <v>24</v>
      </c>
      <c r="E359" t="s">
        <v>25</v>
      </c>
      <c r="F359" t="s">
        <v>33</v>
      </c>
      <c r="G359" t="s">
        <v>39</v>
      </c>
      <c r="H359" t="s">
        <v>21</v>
      </c>
      <c r="I359">
        <v>14</v>
      </c>
      <c r="J359">
        <v>810.07</v>
      </c>
      <c r="K359">
        <v>11340.98</v>
      </c>
      <c r="L359" t="s">
        <v>22</v>
      </c>
      <c r="M359" t="s">
        <v>22</v>
      </c>
      <c r="N359" s="1">
        <v>46203</v>
      </c>
      <c r="O359">
        <v>11340.98</v>
      </c>
    </row>
    <row r="360" spans="1:15" x14ac:dyDescent="0.3">
      <c r="A360" t="s">
        <v>404</v>
      </c>
      <c r="B360" s="1">
        <v>45793</v>
      </c>
      <c r="C360" t="s">
        <v>377</v>
      </c>
      <c r="D360" t="s">
        <v>49</v>
      </c>
      <c r="E360" t="s">
        <v>25</v>
      </c>
      <c r="F360" t="s">
        <v>33</v>
      </c>
      <c r="G360" t="s">
        <v>39</v>
      </c>
      <c r="H360" t="s">
        <v>21</v>
      </c>
      <c r="I360">
        <v>13</v>
      </c>
      <c r="J360">
        <v>464.69</v>
      </c>
      <c r="K360">
        <v>6040.97</v>
      </c>
      <c r="L360" t="s">
        <v>22</v>
      </c>
      <c r="M360" t="s">
        <v>22</v>
      </c>
      <c r="N360" s="1">
        <v>46203</v>
      </c>
      <c r="O360">
        <v>6040.97</v>
      </c>
    </row>
    <row r="361" spans="1:15" x14ac:dyDescent="0.3">
      <c r="A361" t="s">
        <v>405</v>
      </c>
      <c r="B361" s="1">
        <v>45793</v>
      </c>
      <c r="C361" t="s">
        <v>377</v>
      </c>
      <c r="D361" t="s">
        <v>24</v>
      </c>
      <c r="E361" t="s">
        <v>28</v>
      </c>
      <c r="F361" t="s">
        <v>19</v>
      </c>
      <c r="G361" t="s">
        <v>20</v>
      </c>
      <c r="H361" t="s">
        <v>21</v>
      </c>
      <c r="I361">
        <v>13</v>
      </c>
      <c r="J361">
        <v>853.97</v>
      </c>
      <c r="K361">
        <v>11101.61</v>
      </c>
      <c r="L361" t="s">
        <v>22</v>
      </c>
      <c r="M361" t="s">
        <v>22</v>
      </c>
      <c r="N361" s="1">
        <v>46203</v>
      </c>
      <c r="O361">
        <v>11101.61</v>
      </c>
    </row>
    <row r="362" spans="1:15" x14ac:dyDescent="0.3">
      <c r="A362" t="s">
        <v>406</v>
      </c>
      <c r="B362" s="1">
        <v>45793</v>
      </c>
      <c r="C362" t="s">
        <v>377</v>
      </c>
      <c r="D362" t="s">
        <v>24</v>
      </c>
      <c r="E362" t="s">
        <v>50</v>
      </c>
      <c r="F362" t="s">
        <v>29</v>
      </c>
      <c r="G362" t="s">
        <v>20</v>
      </c>
      <c r="H362" t="s">
        <v>21</v>
      </c>
      <c r="I362">
        <v>13</v>
      </c>
      <c r="J362">
        <v>862.75</v>
      </c>
      <c r="K362">
        <v>11215.75</v>
      </c>
      <c r="L362" t="s">
        <v>22</v>
      </c>
      <c r="M362" t="s">
        <v>22</v>
      </c>
      <c r="N362" s="1">
        <v>46203</v>
      </c>
      <c r="O362">
        <v>11215.75</v>
      </c>
    </row>
    <row r="363" spans="1:15" x14ac:dyDescent="0.3">
      <c r="A363" t="s">
        <v>407</v>
      </c>
      <c r="B363" s="1">
        <v>45793</v>
      </c>
      <c r="C363" t="s">
        <v>377</v>
      </c>
      <c r="D363" t="s">
        <v>17</v>
      </c>
      <c r="E363" t="s">
        <v>25</v>
      </c>
      <c r="F363" t="s">
        <v>19</v>
      </c>
      <c r="G363" t="s">
        <v>20</v>
      </c>
      <c r="H363" t="s">
        <v>21</v>
      </c>
      <c r="I363">
        <v>13</v>
      </c>
      <c r="J363">
        <v>1543.7</v>
      </c>
      <c r="K363">
        <v>20068.099999999999</v>
      </c>
      <c r="L363" t="s">
        <v>22</v>
      </c>
      <c r="M363" t="s">
        <v>22</v>
      </c>
      <c r="N363" s="1">
        <v>46203</v>
      </c>
      <c r="O363">
        <v>20068.099999999999</v>
      </c>
    </row>
    <row r="364" spans="1:15" x14ac:dyDescent="0.3">
      <c r="A364" t="s">
        <v>408</v>
      </c>
      <c r="B364" s="1">
        <v>45794</v>
      </c>
      <c r="C364" t="s">
        <v>377</v>
      </c>
      <c r="D364" t="s">
        <v>49</v>
      </c>
      <c r="E364" t="s">
        <v>25</v>
      </c>
      <c r="F364" t="s">
        <v>29</v>
      </c>
      <c r="G364" t="s">
        <v>39</v>
      </c>
      <c r="H364" t="s">
        <v>40</v>
      </c>
      <c r="I364">
        <v>13</v>
      </c>
      <c r="J364">
        <v>530.53</v>
      </c>
      <c r="K364">
        <v>6896.89</v>
      </c>
      <c r="L364" t="s">
        <v>22</v>
      </c>
      <c r="M364" t="s">
        <v>22</v>
      </c>
      <c r="N364" s="1">
        <v>46203</v>
      </c>
      <c r="O364">
        <v>6896.89</v>
      </c>
    </row>
    <row r="365" spans="1:15" x14ac:dyDescent="0.3">
      <c r="A365" t="s">
        <v>409</v>
      </c>
      <c r="B365" s="1">
        <v>45794</v>
      </c>
      <c r="C365" t="s">
        <v>377</v>
      </c>
      <c r="D365" t="s">
        <v>24</v>
      </c>
      <c r="E365" t="s">
        <v>50</v>
      </c>
      <c r="F365" t="s">
        <v>29</v>
      </c>
      <c r="G365" t="s">
        <v>39</v>
      </c>
      <c r="H365" t="s">
        <v>40</v>
      </c>
      <c r="I365">
        <v>13</v>
      </c>
      <c r="J365">
        <v>836.96</v>
      </c>
      <c r="K365">
        <v>10880.48</v>
      </c>
      <c r="L365" t="s">
        <v>22</v>
      </c>
      <c r="M365" t="s">
        <v>22</v>
      </c>
      <c r="N365" s="1">
        <v>46203</v>
      </c>
      <c r="O365">
        <v>10880.48</v>
      </c>
    </row>
    <row r="366" spans="1:15" x14ac:dyDescent="0.3">
      <c r="A366" t="s">
        <v>410</v>
      </c>
      <c r="B366" s="1">
        <v>45794</v>
      </c>
      <c r="C366" t="s">
        <v>377</v>
      </c>
      <c r="D366" t="s">
        <v>49</v>
      </c>
      <c r="E366" t="s">
        <v>28</v>
      </c>
      <c r="F366" t="s">
        <v>51</v>
      </c>
      <c r="G366" t="s">
        <v>39</v>
      </c>
      <c r="H366" t="s">
        <v>21</v>
      </c>
      <c r="I366">
        <v>13</v>
      </c>
      <c r="J366">
        <v>501.34</v>
      </c>
      <c r="K366">
        <v>6517.42</v>
      </c>
      <c r="L366" t="s">
        <v>22</v>
      </c>
      <c r="M366" t="s">
        <v>22</v>
      </c>
      <c r="N366" s="1">
        <v>46203</v>
      </c>
      <c r="O366">
        <v>6517.42</v>
      </c>
    </row>
    <row r="367" spans="1:15" x14ac:dyDescent="0.3">
      <c r="A367" t="s">
        <v>411</v>
      </c>
      <c r="B367" s="1">
        <v>45795</v>
      </c>
      <c r="C367" t="s">
        <v>377</v>
      </c>
      <c r="D367" t="s">
        <v>17</v>
      </c>
      <c r="E367" t="s">
        <v>28</v>
      </c>
      <c r="F367" t="s">
        <v>19</v>
      </c>
      <c r="G367" t="s">
        <v>20</v>
      </c>
      <c r="H367" t="s">
        <v>21</v>
      </c>
      <c r="I367">
        <v>5</v>
      </c>
      <c r="J367">
        <v>1479.21</v>
      </c>
      <c r="K367">
        <v>7396.05</v>
      </c>
      <c r="L367" t="s">
        <v>30</v>
      </c>
      <c r="M367" t="s">
        <v>80</v>
      </c>
      <c r="N367" s="1">
        <v>45946</v>
      </c>
      <c r="O367">
        <v>7396.05</v>
      </c>
    </row>
    <row r="368" spans="1:15" x14ac:dyDescent="0.3">
      <c r="A368" t="s">
        <v>412</v>
      </c>
      <c r="B368" s="1">
        <v>45795</v>
      </c>
      <c r="C368" t="s">
        <v>377</v>
      </c>
      <c r="D368" t="s">
        <v>24</v>
      </c>
      <c r="E368" t="s">
        <v>50</v>
      </c>
      <c r="F368" t="s">
        <v>33</v>
      </c>
      <c r="G368" t="s">
        <v>20</v>
      </c>
      <c r="H368" t="s">
        <v>40</v>
      </c>
      <c r="I368">
        <v>13</v>
      </c>
      <c r="J368">
        <v>814.15</v>
      </c>
      <c r="K368">
        <v>10583.95</v>
      </c>
      <c r="L368" t="s">
        <v>22</v>
      </c>
      <c r="M368" t="s">
        <v>22</v>
      </c>
      <c r="N368" s="1">
        <v>46203</v>
      </c>
      <c r="O368">
        <v>10583.95</v>
      </c>
    </row>
    <row r="369" spans="1:15" x14ac:dyDescent="0.3">
      <c r="A369" t="s">
        <v>413</v>
      </c>
      <c r="B369" s="1">
        <v>45796</v>
      </c>
      <c r="C369" t="s">
        <v>377</v>
      </c>
      <c r="D369" t="s">
        <v>24</v>
      </c>
      <c r="E369" t="s">
        <v>50</v>
      </c>
      <c r="F369" t="s">
        <v>33</v>
      </c>
      <c r="G369" t="s">
        <v>39</v>
      </c>
      <c r="H369" t="s">
        <v>40</v>
      </c>
      <c r="I369">
        <v>13</v>
      </c>
      <c r="J369">
        <v>856.47</v>
      </c>
      <c r="K369">
        <v>11134.11</v>
      </c>
      <c r="L369" t="s">
        <v>22</v>
      </c>
      <c r="M369" t="s">
        <v>22</v>
      </c>
      <c r="N369" s="1">
        <v>46203</v>
      </c>
      <c r="O369">
        <v>11134.11</v>
      </c>
    </row>
    <row r="370" spans="1:15" x14ac:dyDescent="0.3">
      <c r="A370" t="s">
        <v>414</v>
      </c>
      <c r="B370" s="1">
        <v>45796</v>
      </c>
      <c r="C370" t="s">
        <v>377</v>
      </c>
      <c r="D370" t="s">
        <v>24</v>
      </c>
      <c r="E370" t="s">
        <v>28</v>
      </c>
      <c r="F370" t="s">
        <v>19</v>
      </c>
      <c r="G370" t="s">
        <v>39</v>
      </c>
      <c r="H370" t="s">
        <v>21</v>
      </c>
      <c r="I370">
        <v>13</v>
      </c>
      <c r="J370">
        <v>937.21</v>
      </c>
      <c r="K370">
        <v>12183.73</v>
      </c>
      <c r="L370" t="s">
        <v>22</v>
      </c>
      <c r="M370" t="s">
        <v>22</v>
      </c>
      <c r="N370" s="1">
        <v>46203</v>
      </c>
      <c r="O370">
        <v>12183.73</v>
      </c>
    </row>
    <row r="371" spans="1:15" x14ac:dyDescent="0.3">
      <c r="A371" t="s">
        <v>415</v>
      </c>
      <c r="B371" s="1">
        <v>45797</v>
      </c>
      <c r="C371" t="s">
        <v>377</v>
      </c>
      <c r="D371" t="s">
        <v>17</v>
      </c>
      <c r="E371" t="s">
        <v>28</v>
      </c>
      <c r="F371" t="s">
        <v>19</v>
      </c>
      <c r="G371" t="s">
        <v>26</v>
      </c>
      <c r="H371" t="s">
        <v>40</v>
      </c>
      <c r="I371">
        <v>13</v>
      </c>
      <c r="J371">
        <v>1407.64</v>
      </c>
      <c r="K371">
        <v>18299.32</v>
      </c>
      <c r="L371" t="s">
        <v>22</v>
      </c>
      <c r="M371" t="s">
        <v>22</v>
      </c>
      <c r="N371" s="1">
        <v>46203</v>
      </c>
      <c r="O371">
        <v>18299.32</v>
      </c>
    </row>
    <row r="372" spans="1:15" x14ac:dyDescent="0.3">
      <c r="A372" t="s">
        <v>416</v>
      </c>
      <c r="B372" s="1">
        <v>45797</v>
      </c>
      <c r="C372" t="s">
        <v>377</v>
      </c>
      <c r="D372" t="s">
        <v>17</v>
      </c>
      <c r="E372" t="s">
        <v>18</v>
      </c>
      <c r="F372" t="s">
        <v>29</v>
      </c>
      <c r="G372" t="s">
        <v>39</v>
      </c>
      <c r="H372" t="s">
        <v>40</v>
      </c>
      <c r="I372">
        <v>13</v>
      </c>
      <c r="J372">
        <v>1382.3</v>
      </c>
      <c r="K372">
        <v>17969.900000000001</v>
      </c>
      <c r="L372" t="s">
        <v>22</v>
      </c>
      <c r="M372" t="s">
        <v>22</v>
      </c>
      <c r="N372" s="1">
        <v>46203</v>
      </c>
      <c r="O372">
        <v>17969.900000000001</v>
      </c>
    </row>
    <row r="373" spans="1:15" x14ac:dyDescent="0.3">
      <c r="A373" t="s">
        <v>417</v>
      </c>
      <c r="B373" s="1">
        <v>45798</v>
      </c>
      <c r="C373" t="s">
        <v>377</v>
      </c>
      <c r="D373" t="s">
        <v>17</v>
      </c>
      <c r="E373" t="s">
        <v>28</v>
      </c>
      <c r="F373" t="s">
        <v>19</v>
      </c>
      <c r="G373" t="s">
        <v>39</v>
      </c>
      <c r="H373" t="s">
        <v>45</v>
      </c>
      <c r="I373">
        <v>13</v>
      </c>
      <c r="J373">
        <v>1634.52</v>
      </c>
      <c r="K373">
        <v>21248.76</v>
      </c>
      <c r="L373" t="s">
        <v>22</v>
      </c>
      <c r="M373" t="s">
        <v>22</v>
      </c>
      <c r="N373" s="1">
        <v>46203</v>
      </c>
      <c r="O373">
        <v>21248.76</v>
      </c>
    </row>
    <row r="374" spans="1:15" x14ac:dyDescent="0.3">
      <c r="A374" t="s">
        <v>418</v>
      </c>
      <c r="B374" s="1">
        <v>45799</v>
      </c>
      <c r="C374" t="s">
        <v>377</v>
      </c>
      <c r="D374" t="s">
        <v>24</v>
      </c>
      <c r="E374" t="s">
        <v>28</v>
      </c>
      <c r="F374" t="s">
        <v>33</v>
      </c>
      <c r="G374" t="s">
        <v>39</v>
      </c>
      <c r="H374" t="s">
        <v>21</v>
      </c>
      <c r="I374">
        <v>13</v>
      </c>
      <c r="J374">
        <v>810.8</v>
      </c>
      <c r="K374">
        <v>10540.4</v>
      </c>
      <c r="L374" t="s">
        <v>22</v>
      </c>
      <c r="M374" t="s">
        <v>22</v>
      </c>
      <c r="N374" s="1">
        <v>46203</v>
      </c>
      <c r="O374">
        <v>10540.4</v>
      </c>
    </row>
    <row r="375" spans="1:15" x14ac:dyDescent="0.3">
      <c r="A375" t="s">
        <v>419</v>
      </c>
      <c r="B375" s="1">
        <v>45800</v>
      </c>
      <c r="C375" t="s">
        <v>377</v>
      </c>
      <c r="D375" t="s">
        <v>49</v>
      </c>
      <c r="E375" t="s">
        <v>28</v>
      </c>
      <c r="F375" t="s">
        <v>19</v>
      </c>
      <c r="G375" t="s">
        <v>26</v>
      </c>
      <c r="H375" t="s">
        <v>21</v>
      </c>
      <c r="I375">
        <v>7</v>
      </c>
      <c r="J375">
        <v>483.97</v>
      </c>
      <c r="K375">
        <v>3387.79</v>
      </c>
      <c r="L375" t="s">
        <v>30</v>
      </c>
      <c r="M375" t="s">
        <v>41</v>
      </c>
      <c r="N375" s="1">
        <v>45998</v>
      </c>
      <c r="O375">
        <v>3387.79</v>
      </c>
    </row>
    <row r="376" spans="1:15" x14ac:dyDescent="0.3">
      <c r="A376" t="s">
        <v>420</v>
      </c>
      <c r="B376" s="1">
        <v>45801</v>
      </c>
      <c r="C376" t="s">
        <v>377</v>
      </c>
      <c r="D376" t="s">
        <v>49</v>
      </c>
      <c r="E376" t="s">
        <v>25</v>
      </c>
      <c r="F376" t="s">
        <v>33</v>
      </c>
      <c r="G376" t="s">
        <v>20</v>
      </c>
      <c r="H376" t="s">
        <v>40</v>
      </c>
      <c r="I376">
        <v>6</v>
      </c>
      <c r="J376">
        <v>503.49</v>
      </c>
      <c r="K376">
        <v>3020.94</v>
      </c>
      <c r="L376" t="s">
        <v>30</v>
      </c>
      <c r="M376" t="s">
        <v>31</v>
      </c>
      <c r="N376" s="1">
        <v>45983</v>
      </c>
      <c r="O376">
        <v>3020.94</v>
      </c>
    </row>
    <row r="377" spans="1:15" x14ac:dyDescent="0.3">
      <c r="A377" t="s">
        <v>421</v>
      </c>
      <c r="B377" s="1">
        <v>45803</v>
      </c>
      <c r="C377" t="s">
        <v>377</v>
      </c>
      <c r="D377" t="s">
        <v>49</v>
      </c>
      <c r="E377" t="s">
        <v>25</v>
      </c>
      <c r="F377" t="s">
        <v>33</v>
      </c>
      <c r="G377" t="s">
        <v>39</v>
      </c>
      <c r="H377" t="s">
        <v>21</v>
      </c>
      <c r="I377">
        <v>13</v>
      </c>
      <c r="J377">
        <v>532.54</v>
      </c>
      <c r="K377">
        <v>6923.02</v>
      </c>
      <c r="L377" t="s">
        <v>22</v>
      </c>
      <c r="M377" t="s">
        <v>22</v>
      </c>
      <c r="N377" s="1">
        <v>46203</v>
      </c>
      <c r="O377">
        <v>6923.02</v>
      </c>
    </row>
    <row r="378" spans="1:15" x14ac:dyDescent="0.3">
      <c r="A378" t="s">
        <v>422</v>
      </c>
      <c r="B378" s="1">
        <v>45804</v>
      </c>
      <c r="C378" t="s">
        <v>377</v>
      </c>
      <c r="D378" t="s">
        <v>49</v>
      </c>
      <c r="E378" t="s">
        <v>28</v>
      </c>
      <c r="F378" t="s">
        <v>51</v>
      </c>
      <c r="G378" t="s">
        <v>39</v>
      </c>
      <c r="H378" t="s">
        <v>21</v>
      </c>
      <c r="I378">
        <v>13</v>
      </c>
      <c r="J378">
        <v>496.21</v>
      </c>
      <c r="K378">
        <v>6450.73</v>
      </c>
      <c r="L378" t="s">
        <v>22</v>
      </c>
      <c r="M378" t="s">
        <v>22</v>
      </c>
      <c r="N378" s="1">
        <v>46203</v>
      </c>
      <c r="O378">
        <v>6450.73</v>
      </c>
    </row>
    <row r="379" spans="1:15" x14ac:dyDescent="0.3">
      <c r="A379" t="s">
        <v>423</v>
      </c>
      <c r="B379" s="1">
        <v>45804</v>
      </c>
      <c r="C379" t="s">
        <v>377</v>
      </c>
      <c r="D379" t="s">
        <v>17</v>
      </c>
      <c r="E379" t="s">
        <v>25</v>
      </c>
      <c r="F379" t="s">
        <v>51</v>
      </c>
      <c r="G379" t="s">
        <v>39</v>
      </c>
      <c r="H379" t="s">
        <v>34</v>
      </c>
      <c r="I379">
        <v>13</v>
      </c>
      <c r="J379">
        <v>1440.94</v>
      </c>
      <c r="K379">
        <v>18732.22</v>
      </c>
      <c r="L379" t="s">
        <v>22</v>
      </c>
      <c r="M379" t="s">
        <v>22</v>
      </c>
      <c r="N379" s="1">
        <v>46203</v>
      </c>
      <c r="O379">
        <v>18732.22</v>
      </c>
    </row>
    <row r="380" spans="1:15" x14ac:dyDescent="0.3">
      <c r="A380" t="s">
        <v>424</v>
      </c>
      <c r="B380" s="1">
        <v>45805</v>
      </c>
      <c r="C380" t="s">
        <v>377</v>
      </c>
      <c r="D380" t="s">
        <v>49</v>
      </c>
      <c r="E380" t="s">
        <v>25</v>
      </c>
      <c r="F380" t="s">
        <v>29</v>
      </c>
      <c r="G380" t="s">
        <v>39</v>
      </c>
      <c r="H380" t="s">
        <v>34</v>
      </c>
      <c r="I380">
        <v>13</v>
      </c>
      <c r="J380">
        <v>540.01</v>
      </c>
      <c r="K380">
        <v>7020.13</v>
      </c>
      <c r="L380" t="s">
        <v>22</v>
      </c>
      <c r="M380" t="s">
        <v>22</v>
      </c>
      <c r="N380" s="1">
        <v>46203</v>
      </c>
      <c r="O380">
        <v>7020.13</v>
      </c>
    </row>
    <row r="381" spans="1:15" x14ac:dyDescent="0.3">
      <c r="A381" t="s">
        <v>425</v>
      </c>
      <c r="B381" s="1">
        <v>45805</v>
      </c>
      <c r="C381" t="s">
        <v>377</v>
      </c>
      <c r="D381" t="s">
        <v>17</v>
      </c>
      <c r="E381" t="s">
        <v>18</v>
      </c>
      <c r="F381" t="s">
        <v>38</v>
      </c>
      <c r="G381" t="s">
        <v>39</v>
      </c>
      <c r="H381" t="s">
        <v>45</v>
      </c>
      <c r="I381">
        <v>13</v>
      </c>
      <c r="J381">
        <v>1377.81</v>
      </c>
      <c r="K381">
        <v>17911.53</v>
      </c>
      <c r="L381" t="s">
        <v>22</v>
      </c>
      <c r="M381" t="s">
        <v>22</v>
      </c>
      <c r="N381" s="1">
        <v>46203</v>
      </c>
      <c r="O381">
        <v>17911.53</v>
      </c>
    </row>
    <row r="382" spans="1:15" x14ac:dyDescent="0.3">
      <c r="A382" t="s">
        <v>426</v>
      </c>
      <c r="B382" s="1">
        <v>45806</v>
      </c>
      <c r="C382" t="s">
        <v>377</v>
      </c>
      <c r="D382" t="s">
        <v>24</v>
      </c>
      <c r="E382" t="s">
        <v>18</v>
      </c>
      <c r="F382" t="s">
        <v>38</v>
      </c>
      <c r="G382" t="s">
        <v>39</v>
      </c>
      <c r="H382" t="s">
        <v>21</v>
      </c>
      <c r="I382">
        <v>13</v>
      </c>
      <c r="J382">
        <v>938.46</v>
      </c>
      <c r="K382">
        <v>12199.98</v>
      </c>
      <c r="L382" t="s">
        <v>22</v>
      </c>
      <c r="M382" t="s">
        <v>22</v>
      </c>
      <c r="N382" s="1">
        <v>46203</v>
      </c>
      <c r="O382">
        <v>12199.98</v>
      </c>
    </row>
    <row r="383" spans="1:15" x14ac:dyDescent="0.3">
      <c r="A383" t="s">
        <v>427</v>
      </c>
      <c r="B383" s="1">
        <v>45806</v>
      </c>
      <c r="C383" t="s">
        <v>377</v>
      </c>
      <c r="D383" t="s">
        <v>49</v>
      </c>
      <c r="E383" t="s">
        <v>25</v>
      </c>
      <c r="F383" t="s">
        <v>29</v>
      </c>
      <c r="G383" t="s">
        <v>20</v>
      </c>
      <c r="H383" t="s">
        <v>21</v>
      </c>
      <c r="I383">
        <v>13</v>
      </c>
      <c r="J383">
        <v>462.08</v>
      </c>
      <c r="K383">
        <v>6007.04</v>
      </c>
      <c r="L383" t="s">
        <v>22</v>
      </c>
      <c r="M383" t="s">
        <v>22</v>
      </c>
      <c r="N383" s="1">
        <v>46203</v>
      </c>
      <c r="O383">
        <v>6007.04</v>
      </c>
    </row>
    <row r="384" spans="1:15" x14ac:dyDescent="0.3">
      <c r="A384" t="s">
        <v>428</v>
      </c>
      <c r="B384" s="1">
        <v>45807</v>
      </c>
      <c r="C384" t="s">
        <v>377</v>
      </c>
      <c r="D384" t="s">
        <v>49</v>
      </c>
      <c r="E384" t="s">
        <v>18</v>
      </c>
      <c r="F384" t="s">
        <v>29</v>
      </c>
      <c r="G384" t="s">
        <v>20</v>
      </c>
      <c r="H384" t="s">
        <v>40</v>
      </c>
      <c r="I384">
        <v>12</v>
      </c>
      <c r="J384">
        <v>501.83</v>
      </c>
      <c r="K384">
        <v>6021.96</v>
      </c>
      <c r="L384" t="s">
        <v>30</v>
      </c>
      <c r="M384" t="s">
        <v>80</v>
      </c>
      <c r="N384" s="1">
        <v>46180</v>
      </c>
      <c r="O384">
        <v>6021.96</v>
      </c>
    </row>
    <row r="385" spans="1:15" x14ac:dyDescent="0.3">
      <c r="A385" t="s">
        <v>429</v>
      </c>
      <c r="B385" s="1">
        <v>45807</v>
      </c>
      <c r="C385" t="s">
        <v>377</v>
      </c>
      <c r="D385" t="s">
        <v>24</v>
      </c>
      <c r="E385" t="s">
        <v>18</v>
      </c>
      <c r="F385" t="s">
        <v>38</v>
      </c>
      <c r="G385" t="s">
        <v>39</v>
      </c>
      <c r="H385" t="s">
        <v>21</v>
      </c>
      <c r="I385">
        <v>13</v>
      </c>
      <c r="J385">
        <v>941.94</v>
      </c>
      <c r="K385">
        <v>12245.22</v>
      </c>
      <c r="L385" t="s">
        <v>22</v>
      </c>
      <c r="M385" t="s">
        <v>22</v>
      </c>
      <c r="N385" s="1">
        <v>46203</v>
      </c>
      <c r="O385">
        <v>12245.22</v>
      </c>
    </row>
    <row r="386" spans="1:15" x14ac:dyDescent="0.3">
      <c r="A386" t="s">
        <v>430</v>
      </c>
      <c r="B386" s="1">
        <v>45807</v>
      </c>
      <c r="C386" t="s">
        <v>377</v>
      </c>
      <c r="D386" t="s">
        <v>24</v>
      </c>
      <c r="E386" t="s">
        <v>18</v>
      </c>
      <c r="F386" t="s">
        <v>19</v>
      </c>
      <c r="G386" t="s">
        <v>26</v>
      </c>
      <c r="H386" t="s">
        <v>21</v>
      </c>
      <c r="I386">
        <v>13</v>
      </c>
      <c r="J386">
        <v>976.81</v>
      </c>
      <c r="K386">
        <v>12698.53</v>
      </c>
      <c r="L386" t="s">
        <v>22</v>
      </c>
      <c r="M386" t="s">
        <v>22</v>
      </c>
      <c r="N386" s="1">
        <v>46203</v>
      </c>
      <c r="O386">
        <v>12698.53</v>
      </c>
    </row>
    <row r="387" spans="1:15" x14ac:dyDescent="0.3">
      <c r="A387" t="s">
        <v>431</v>
      </c>
      <c r="B387" s="1">
        <v>45807</v>
      </c>
      <c r="C387" t="s">
        <v>377</v>
      </c>
      <c r="D387" t="s">
        <v>17</v>
      </c>
      <c r="E387" t="s">
        <v>50</v>
      </c>
      <c r="F387" t="s">
        <v>33</v>
      </c>
      <c r="G387" t="s">
        <v>39</v>
      </c>
      <c r="H387" t="s">
        <v>34</v>
      </c>
      <c r="I387">
        <v>13</v>
      </c>
      <c r="J387">
        <v>1384.91</v>
      </c>
      <c r="K387">
        <v>18003.830000000002</v>
      </c>
      <c r="L387" t="s">
        <v>22</v>
      </c>
      <c r="M387" t="s">
        <v>22</v>
      </c>
      <c r="N387" s="1">
        <v>46203</v>
      </c>
      <c r="O387">
        <v>18003.830000000002</v>
      </c>
    </row>
    <row r="388" spans="1:15" x14ac:dyDescent="0.3">
      <c r="A388" t="s">
        <v>432</v>
      </c>
      <c r="B388" s="1">
        <v>45807</v>
      </c>
      <c r="C388" t="s">
        <v>377</v>
      </c>
      <c r="D388" t="s">
        <v>49</v>
      </c>
      <c r="E388" t="s">
        <v>25</v>
      </c>
      <c r="F388" t="s">
        <v>38</v>
      </c>
      <c r="G388" t="s">
        <v>39</v>
      </c>
      <c r="H388" t="s">
        <v>21</v>
      </c>
      <c r="I388">
        <v>13</v>
      </c>
      <c r="J388">
        <v>486.58</v>
      </c>
      <c r="K388">
        <v>6325.54</v>
      </c>
      <c r="L388" t="s">
        <v>22</v>
      </c>
      <c r="M388" t="s">
        <v>22</v>
      </c>
      <c r="N388" s="1">
        <v>46203</v>
      </c>
      <c r="O388">
        <v>6325.54</v>
      </c>
    </row>
    <row r="389" spans="1:15" x14ac:dyDescent="0.3">
      <c r="A389" t="s">
        <v>433</v>
      </c>
      <c r="B389" s="1">
        <v>45808</v>
      </c>
      <c r="C389" t="s">
        <v>377</v>
      </c>
      <c r="D389" t="s">
        <v>17</v>
      </c>
      <c r="E389" t="s">
        <v>28</v>
      </c>
      <c r="F389" t="s">
        <v>19</v>
      </c>
      <c r="G389" t="s">
        <v>26</v>
      </c>
      <c r="H389" t="s">
        <v>21</v>
      </c>
      <c r="I389">
        <v>13</v>
      </c>
      <c r="J389">
        <v>1637.57</v>
      </c>
      <c r="K389">
        <v>21288.41</v>
      </c>
      <c r="L389" t="s">
        <v>22</v>
      </c>
      <c r="M389" t="s">
        <v>22</v>
      </c>
      <c r="N389" s="1">
        <v>46203</v>
      </c>
      <c r="O389">
        <v>21288.41</v>
      </c>
    </row>
    <row r="390" spans="1:15" x14ac:dyDescent="0.3">
      <c r="A390" t="s">
        <v>434</v>
      </c>
      <c r="B390" s="1">
        <v>45808</v>
      </c>
      <c r="C390" t="s">
        <v>377</v>
      </c>
      <c r="D390" t="s">
        <v>24</v>
      </c>
      <c r="E390" t="s">
        <v>18</v>
      </c>
      <c r="F390" t="s">
        <v>19</v>
      </c>
      <c r="G390" t="s">
        <v>39</v>
      </c>
      <c r="H390" t="s">
        <v>21</v>
      </c>
      <c r="I390">
        <v>13</v>
      </c>
      <c r="J390">
        <v>876.76</v>
      </c>
      <c r="K390">
        <v>11397.88</v>
      </c>
      <c r="L390" t="s">
        <v>22</v>
      </c>
      <c r="M390" t="s">
        <v>22</v>
      </c>
      <c r="N390" s="1">
        <v>46203</v>
      </c>
      <c r="O390">
        <v>11397.88</v>
      </c>
    </row>
    <row r="391" spans="1:15" x14ac:dyDescent="0.3">
      <c r="A391" t="s">
        <v>435</v>
      </c>
      <c r="B391" s="1">
        <v>45808</v>
      </c>
      <c r="C391" t="s">
        <v>377</v>
      </c>
      <c r="D391" t="s">
        <v>24</v>
      </c>
      <c r="E391" t="s">
        <v>28</v>
      </c>
      <c r="F391" t="s">
        <v>38</v>
      </c>
      <c r="G391" t="s">
        <v>20</v>
      </c>
      <c r="H391" t="s">
        <v>21</v>
      </c>
      <c r="I391">
        <v>13</v>
      </c>
      <c r="J391">
        <v>937.27</v>
      </c>
      <c r="K391">
        <v>12184.51</v>
      </c>
      <c r="L391" t="s">
        <v>22</v>
      </c>
      <c r="M391" t="s">
        <v>22</v>
      </c>
      <c r="N391" s="1">
        <v>46203</v>
      </c>
      <c r="O391">
        <v>12184.51</v>
      </c>
    </row>
    <row r="392" spans="1:15" x14ac:dyDescent="0.3">
      <c r="A392" t="s">
        <v>436</v>
      </c>
      <c r="B392" s="1">
        <v>45809</v>
      </c>
      <c r="C392" t="s">
        <v>437</v>
      </c>
      <c r="D392" t="s">
        <v>24</v>
      </c>
      <c r="E392" t="s">
        <v>28</v>
      </c>
      <c r="F392" t="s">
        <v>51</v>
      </c>
      <c r="G392" t="s">
        <v>20</v>
      </c>
      <c r="H392" t="s">
        <v>21</v>
      </c>
      <c r="I392">
        <v>7</v>
      </c>
      <c r="J392">
        <v>818.15</v>
      </c>
      <c r="K392">
        <v>5727.05</v>
      </c>
      <c r="L392" t="s">
        <v>30</v>
      </c>
      <c r="M392" t="s">
        <v>80</v>
      </c>
      <c r="N392" s="1">
        <v>46032</v>
      </c>
      <c r="O392">
        <v>5727.05</v>
      </c>
    </row>
    <row r="393" spans="1:15" x14ac:dyDescent="0.3">
      <c r="A393" t="s">
        <v>438</v>
      </c>
      <c r="B393" s="1">
        <v>45809</v>
      </c>
      <c r="C393" t="s">
        <v>437</v>
      </c>
      <c r="D393" t="s">
        <v>24</v>
      </c>
      <c r="E393" t="s">
        <v>28</v>
      </c>
      <c r="F393" t="s">
        <v>29</v>
      </c>
      <c r="G393" t="s">
        <v>20</v>
      </c>
      <c r="H393" t="s">
        <v>40</v>
      </c>
      <c r="I393">
        <v>13</v>
      </c>
      <c r="J393">
        <v>980.63</v>
      </c>
      <c r="K393">
        <v>12748.19</v>
      </c>
      <c r="L393" t="s">
        <v>22</v>
      </c>
      <c r="M393" t="s">
        <v>22</v>
      </c>
      <c r="N393" s="1">
        <v>46203</v>
      </c>
      <c r="O393">
        <v>12748.19</v>
      </c>
    </row>
    <row r="394" spans="1:15" x14ac:dyDescent="0.3">
      <c r="A394" t="s">
        <v>439</v>
      </c>
      <c r="B394" s="1">
        <v>45810</v>
      </c>
      <c r="C394" t="s">
        <v>437</v>
      </c>
      <c r="D394" t="s">
        <v>49</v>
      </c>
      <c r="E394" t="s">
        <v>50</v>
      </c>
      <c r="F394" t="s">
        <v>29</v>
      </c>
      <c r="G394" t="s">
        <v>39</v>
      </c>
      <c r="H394" t="s">
        <v>21</v>
      </c>
      <c r="I394">
        <v>13</v>
      </c>
      <c r="J394">
        <v>509.7</v>
      </c>
      <c r="K394">
        <v>6626.1</v>
      </c>
      <c r="L394" t="s">
        <v>22</v>
      </c>
      <c r="M394" t="s">
        <v>22</v>
      </c>
      <c r="N394" s="1">
        <v>46203</v>
      </c>
      <c r="O394">
        <v>6626.1</v>
      </c>
    </row>
    <row r="395" spans="1:15" x14ac:dyDescent="0.3">
      <c r="A395" t="s">
        <v>440</v>
      </c>
      <c r="B395" s="1">
        <v>45810</v>
      </c>
      <c r="C395" t="s">
        <v>437</v>
      </c>
      <c r="D395" t="s">
        <v>49</v>
      </c>
      <c r="E395" t="s">
        <v>25</v>
      </c>
      <c r="F395" t="s">
        <v>19</v>
      </c>
      <c r="G395" t="s">
        <v>39</v>
      </c>
      <c r="H395" t="s">
        <v>21</v>
      </c>
      <c r="I395">
        <v>13</v>
      </c>
      <c r="J395">
        <v>480.08</v>
      </c>
      <c r="K395">
        <v>6241.04</v>
      </c>
      <c r="L395" t="s">
        <v>22</v>
      </c>
      <c r="M395" t="s">
        <v>22</v>
      </c>
      <c r="N395" s="1">
        <v>46203</v>
      </c>
      <c r="O395">
        <v>6241.04</v>
      </c>
    </row>
    <row r="396" spans="1:15" x14ac:dyDescent="0.3">
      <c r="A396" t="s">
        <v>441</v>
      </c>
      <c r="B396" s="1">
        <v>45810</v>
      </c>
      <c r="C396" t="s">
        <v>437</v>
      </c>
      <c r="D396" t="s">
        <v>49</v>
      </c>
      <c r="E396" t="s">
        <v>25</v>
      </c>
      <c r="F396" t="s">
        <v>33</v>
      </c>
      <c r="G396" t="s">
        <v>39</v>
      </c>
      <c r="H396" t="s">
        <v>40</v>
      </c>
      <c r="I396">
        <v>13</v>
      </c>
      <c r="J396">
        <v>505.14</v>
      </c>
      <c r="K396">
        <v>6566.82</v>
      </c>
      <c r="L396" t="s">
        <v>22</v>
      </c>
      <c r="M396" t="s">
        <v>22</v>
      </c>
      <c r="N396" s="1">
        <v>46203</v>
      </c>
      <c r="O396">
        <v>6566.82</v>
      </c>
    </row>
    <row r="397" spans="1:15" x14ac:dyDescent="0.3">
      <c r="A397" t="s">
        <v>442</v>
      </c>
      <c r="B397" s="1">
        <v>45810</v>
      </c>
      <c r="C397" t="s">
        <v>437</v>
      </c>
      <c r="D397" t="s">
        <v>24</v>
      </c>
      <c r="E397" t="s">
        <v>28</v>
      </c>
      <c r="F397" t="s">
        <v>51</v>
      </c>
      <c r="G397" t="s">
        <v>39</v>
      </c>
      <c r="H397" t="s">
        <v>45</v>
      </c>
      <c r="I397">
        <v>13</v>
      </c>
      <c r="J397">
        <v>893.01</v>
      </c>
      <c r="K397">
        <v>11609.13</v>
      </c>
      <c r="L397" t="s">
        <v>22</v>
      </c>
      <c r="M397" t="s">
        <v>22</v>
      </c>
      <c r="N397" s="1">
        <v>46203</v>
      </c>
      <c r="O397">
        <v>11609.13</v>
      </c>
    </row>
    <row r="398" spans="1:15" x14ac:dyDescent="0.3">
      <c r="A398" t="s">
        <v>443</v>
      </c>
      <c r="B398" s="1">
        <v>45810</v>
      </c>
      <c r="C398" t="s">
        <v>437</v>
      </c>
      <c r="D398" t="s">
        <v>49</v>
      </c>
      <c r="E398" t="s">
        <v>28</v>
      </c>
      <c r="F398" t="s">
        <v>38</v>
      </c>
      <c r="G398" t="s">
        <v>20</v>
      </c>
      <c r="H398" t="s">
        <v>21</v>
      </c>
      <c r="I398">
        <v>13</v>
      </c>
      <c r="J398">
        <v>471.4</v>
      </c>
      <c r="K398">
        <v>6128.2</v>
      </c>
      <c r="L398" t="s">
        <v>22</v>
      </c>
      <c r="M398" t="s">
        <v>22</v>
      </c>
      <c r="N398" s="1">
        <v>46203</v>
      </c>
      <c r="O398">
        <v>6128.2</v>
      </c>
    </row>
    <row r="399" spans="1:15" x14ac:dyDescent="0.3">
      <c r="A399" t="s">
        <v>444</v>
      </c>
      <c r="B399" s="1">
        <v>45810</v>
      </c>
      <c r="C399" t="s">
        <v>437</v>
      </c>
      <c r="D399" t="s">
        <v>49</v>
      </c>
      <c r="E399" t="s">
        <v>25</v>
      </c>
      <c r="F399" t="s">
        <v>29</v>
      </c>
      <c r="G399" t="s">
        <v>39</v>
      </c>
      <c r="H399" t="s">
        <v>40</v>
      </c>
      <c r="I399">
        <v>13</v>
      </c>
      <c r="J399">
        <v>483.2</v>
      </c>
      <c r="K399">
        <v>6281.6</v>
      </c>
      <c r="L399" t="s">
        <v>22</v>
      </c>
      <c r="M399" t="s">
        <v>22</v>
      </c>
      <c r="N399" s="1">
        <v>46203</v>
      </c>
      <c r="O399">
        <v>6281.6</v>
      </c>
    </row>
    <row r="400" spans="1:15" x14ac:dyDescent="0.3">
      <c r="A400" t="s">
        <v>445</v>
      </c>
      <c r="B400" s="1">
        <v>45810</v>
      </c>
      <c r="C400" t="s">
        <v>437</v>
      </c>
      <c r="D400" t="s">
        <v>49</v>
      </c>
      <c r="E400" t="s">
        <v>50</v>
      </c>
      <c r="F400" t="s">
        <v>19</v>
      </c>
      <c r="G400" t="s">
        <v>39</v>
      </c>
      <c r="H400" t="s">
        <v>40</v>
      </c>
      <c r="I400">
        <v>1</v>
      </c>
      <c r="J400">
        <v>470.05</v>
      </c>
      <c r="K400">
        <v>470.05</v>
      </c>
      <c r="L400" t="s">
        <v>30</v>
      </c>
      <c r="M400" t="s">
        <v>41</v>
      </c>
      <c r="N400" s="1">
        <v>45854</v>
      </c>
      <c r="O400">
        <v>470.05</v>
      </c>
    </row>
    <row r="401" spans="1:15" x14ac:dyDescent="0.3">
      <c r="A401" t="s">
        <v>446</v>
      </c>
      <c r="B401" s="1">
        <v>45810</v>
      </c>
      <c r="C401" t="s">
        <v>437</v>
      </c>
      <c r="D401" t="s">
        <v>24</v>
      </c>
      <c r="E401" t="s">
        <v>18</v>
      </c>
      <c r="F401" t="s">
        <v>33</v>
      </c>
      <c r="G401" t="s">
        <v>39</v>
      </c>
      <c r="H401" t="s">
        <v>45</v>
      </c>
      <c r="I401">
        <v>3</v>
      </c>
      <c r="J401">
        <v>897.19</v>
      </c>
      <c r="K401">
        <v>2691.57</v>
      </c>
      <c r="L401" t="s">
        <v>30</v>
      </c>
      <c r="M401" t="s">
        <v>43</v>
      </c>
      <c r="N401" s="1">
        <v>45911</v>
      </c>
      <c r="O401">
        <v>2691.57</v>
      </c>
    </row>
    <row r="402" spans="1:15" x14ac:dyDescent="0.3">
      <c r="A402" t="s">
        <v>447</v>
      </c>
      <c r="B402" s="1">
        <v>45812</v>
      </c>
      <c r="C402" t="s">
        <v>437</v>
      </c>
      <c r="D402" t="s">
        <v>49</v>
      </c>
      <c r="E402" t="s">
        <v>28</v>
      </c>
      <c r="F402" t="s">
        <v>19</v>
      </c>
      <c r="G402" t="s">
        <v>39</v>
      </c>
      <c r="H402" t="s">
        <v>40</v>
      </c>
      <c r="I402">
        <v>13</v>
      </c>
      <c r="J402">
        <v>470.07</v>
      </c>
      <c r="K402">
        <v>6110.91</v>
      </c>
      <c r="L402" t="s">
        <v>22</v>
      </c>
      <c r="M402" t="s">
        <v>22</v>
      </c>
      <c r="N402" s="1">
        <v>46203</v>
      </c>
      <c r="O402">
        <v>6110.91</v>
      </c>
    </row>
    <row r="403" spans="1:15" x14ac:dyDescent="0.3">
      <c r="A403" t="s">
        <v>448</v>
      </c>
      <c r="B403" s="1">
        <v>45813</v>
      </c>
      <c r="C403" t="s">
        <v>437</v>
      </c>
      <c r="D403" t="s">
        <v>49</v>
      </c>
      <c r="E403" t="s">
        <v>28</v>
      </c>
      <c r="F403" t="s">
        <v>33</v>
      </c>
      <c r="G403" t="s">
        <v>39</v>
      </c>
      <c r="H403" t="s">
        <v>40</v>
      </c>
      <c r="I403">
        <v>13</v>
      </c>
      <c r="J403">
        <v>530.82000000000005</v>
      </c>
      <c r="K403">
        <v>6900.66</v>
      </c>
      <c r="L403" t="s">
        <v>22</v>
      </c>
      <c r="M403" t="s">
        <v>22</v>
      </c>
      <c r="N403" s="1">
        <v>46203</v>
      </c>
      <c r="O403">
        <v>6900.66</v>
      </c>
    </row>
    <row r="404" spans="1:15" x14ac:dyDescent="0.3">
      <c r="A404" t="s">
        <v>449</v>
      </c>
      <c r="B404" s="1">
        <v>45814</v>
      </c>
      <c r="C404" t="s">
        <v>437</v>
      </c>
      <c r="D404" t="s">
        <v>17</v>
      </c>
      <c r="E404" t="s">
        <v>18</v>
      </c>
      <c r="F404" t="s">
        <v>33</v>
      </c>
      <c r="G404" t="s">
        <v>20</v>
      </c>
      <c r="H404" t="s">
        <v>21</v>
      </c>
      <c r="I404">
        <v>13</v>
      </c>
      <c r="J404">
        <v>1431.11</v>
      </c>
      <c r="K404">
        <v>18604.43</v>
      </c>
      <c r="L404" t="s">
        <v>22</v>
      </c>
      <c r="M404" t="s">
        <v>22</v>
      </c>
      <c r="N404" s="1">
        <v>46203</v>
      </c>
      <c r="O404">
        <v>18604.43</v>
      </c>
    </row>
    <row r="405" spans="1:15" x14ac:dyDescent="0.3">
      <c r="A405" t="s">
        <v>450</v>
      </c>
      <c r="B405" s="1">
        <v>45814</v>
      </c>
      <c r="C405" t="s">
        <v>437</v>
      </c>
      <c r="D405" t="s">
        <v>49</v>
      </c>
      <c r="E405" t="s">
        <v>28</v>
      </c>
      <c r="F405" t="s">
        <v>29</v>
      </c>
      <c r="G405" t="s">
        <v>39</v>
      </c>
      <c r="H405" t="s">
        <v>21</v>
      </c>
      <c r="I405">
        <v>13</v>
      </c>
      <c r="J405">
        <v>488.3</v>
      </c>
      <c r="K405">
        <v>6347.9</v>
      </c>
      <c r="L405" t="s">
        <v>22</v>
      </c>
      <c r="M405" t="s">
        <v>22</v>
      </c>
      <c r="N405" s="1">
        <v>46203</v>
      </c>
      <c r="O405">
        <v>6347.9</v>
      </c>
    </row>
    <row r="406" spans="1:15" x14ac:dyDescent="0.3">
      <c r="A406" t="s">
        <v>451</v>
      </c>
      <c r="B406" s="1">
        <v>45815</v>
      </c>
      <c r="C406" t="s">
        <v>437</v>
      </c>
      <c r="D406" t="s">
        <v>49</v>
      </c>
      <c r="E406" t="s">
        <v>25</v>
      </c>
      <c r="F406" t="s">
        <v>19</v>
      </c>
      <c r="G406" t="s">
        <v>20</v>
      </c>
      <c r="H406" t="s">
        <v>21</v>
      </c>
      <c r="I406">
        <v>13</v>
      </c>
      <c r="J406">
        <v>515.77</v>
      </c>
      <c r="K406">
        <v>6705.01</v>
      </c>
      <c r="L406" t="s">
        <v>22</v>
      </c>
      <c r="M406" t="s">
        <v>22</v>
      </c>
      <c r="N406" s="1">
        <v>46203</v>
      </c>
      <c r="O406">
        <v>6705.01</v>
      </c>
    </row>
    <row r="407" spans="1:15" x14ac:dyDescent="0.3">
      <c r="A407" t="s">
        <v>452</v>
      </c>
      <c r="B407" s="1">
        <v>45815</v>
      </c>
      <c r="C407" t="s">
        <v>437</v>
      </c>
      <c r="D407" t="s">
        <v>24</v>
      </c>
      <c r="E407" t="s">
        <v>50</v>
      </c>
      <c r="F407" t="s">
        <v>19</v>
      </c>
      <c r="G407" t="s">
        <v>39</v>
      </c>
      <c r="H407" t="s">
        <v>21</v>
      </c>
      <c r="I407">
        <v>6</v>
      </c>
      <c r="J407">
        <v>837.95</v>
      </c>
      <c r="K407">
        <v>5027.7</v>
      </c>
      <c r="L407" t="s">
        <v>30</v>
      </c>
      <c r="M407" t="s">
        <v>43</v>
      </c>
      <c r="N407" s="1">
        <v>46008</v>
      </c>
      <c r="O407">
        <v>5027.7</v>
      </c>
    </row>
    <row r="408" spans="1:15" x14ac:dyDescent="0.3">
      <c r="A408" t="s">
        <v>453</v>
      </c>
      <c r="B408" s="1">
        <v>45815</v>
      </c>
      <c r="C408" t="s">
        <v>437</v>
      </c>
      <c r="D408" t="s">
        <v>49</v>
      </c>
      <c r="E408" t="s">
        <v>25</v>
      </c>
      <c r="F408" t="s">
        <v>19</v>
      </c>
      <c r="G408" t="s">
        <v>20</v>
      </c>
      <c r="H408" t="s">
        <v>34</v>
      </c>
      <c r="I408">
        <v>13</v>
      </c>
      <c r="J408">
        <v>462.24</v>
      </c>
      <c r="K408">
        <v>6009.12</v>
      </c>
      <c r="L408" t="s">
        <v>22</v>
      </c>
      <c r="M408" t="s">
        <v>22</v>
      </c>
      <c r="N408" s="1">
        <v>46203</v>
      </c>
      <c r="O408">
        <v>6009.12</v>
      </c>
    </row>
    <row r="409" spans="1:15" x14ac:dyDescent="0.3">
      <c r="A409" t="s">
        <v>454</v>
      </c>
      <c r="B409" s="1">
        <v>45815</v>
      </c>
      <c r="C409" t="s">
        <v>437</v>
      </c>
      <c r="D409" t="s">
        <v>49</v>
      </c>
      <c r="E409" t="s">
        <v>18</v>
      </c>
      <c r="F409" t="s">
        <v>33</v>
      </c>
      <c r="G409" t="s">
        <v>39</v>
      </c>
      <c r="H409" t="s">
        <v>21</v>
      </c>
      <c r="I409">
        <v>6</v>
      </c>
      <c r="J409">
        <v>502.54</v>
      </c>
      <c r="K409">
        <v>3015.24</v>
      </c>
      <c r="L409" t="s">
        <v>30</v>
      </c>
      <c r="M409" t="s">
        <v>36</v>
      </c>
      <c r="N409" s="1">
        <v>46002</v>
      </c>
      <c r="O409">
        <v>3015.24</v>
      </c>
    </row>
    <row r="410" spans="1:15" x14ac:dyDescent="0.3">
      <c r="A410" t="s">
        <v>455</v>
      </c>
      <c r="B410" s="1">
        <v>45816</v>
      </c>
      <c r="C410" t="s">
        <v>437</v>
      </c>
      <c r="D410" t="s">
        <v>24</v>
      </c>
      <c r="E410" t="s">
        <v>25</v>
      </c>
      <c r="F410" t="s">
        <v>29</v>
      </c>
      <c r="G410" t="s">
        <v>26</v>
      </c>
      <c r="H410" t="s">
        <v>40</v>
      </c>
      <c r="I410">
        <v>13</v>
      </c>
      <c r="J410">
        <v>819.16</v>
      </c>
      <c r="K410">
        <v>10649.08</v>
      </c>
      <c r="L410" t="s">
        <v>22</v>
      </c>
      <c r="M410" t="s">
        <v>22</v>
      </c>
      <c r="N410" s="1">
        <v>46203</v>
      </c>
      <c r="O410">
        <v>10649.08</v>
      </c>
    </row>
    <row r="411" spans="1:15" x14ac:dyDescent="0.3">
      <c r="A411" t="s">
        <v>456</v>
      </c>
      <c r="B411" s="1">
        <v>45816</v>
      </c>
      <c r="C411" t="s">
        <v>437</v>
      </c>
      <c r="D411" t="s">
        <v>49</v>
      </c>
      <c r="E411" t="s">
        <v>50</v>
      </c>
      <c r="F411" t="s">
        <v>33</v>
      </c>
      <c r="G411" t="s">
        <v>39</v>
      </c>
      <c r="H411" t="s">
        <v>21</v>
      </c>
      <c r="I411">
        <v>7</v>
      </c>
      <c r="J411">
        <v>521.47</v>
      </c>
      <c r="K411">
        <v>3650.29</v>
      </c>
      <c r="L411" t="s">
        <v>30</v>
      </c>
      <c r="M411" t="s">
        <v>43</v>
      </c>
      <c r="N411" s="1">
        <v>46039</v>
      </c>
      <c r="O411">
        <v>3650.29</v>
      </c>
    </row>
    <row r="412" spans="1:15" x14ac:dyDescent="0.3">
      <c r="A412" t="s">
        <v>457</v>
      </c>
      <c r="B412" s="1">
        <v>45816</v>
      </c>
      <c r="C412" t="s">
        <v>437</v>
      </c>
      <c r="D412" t="s">
        <v>24</v>
      </c>
      <c r="E412" t="s">
        <v>18</v>
      </c>
      <c r="F412" t="s">
        <v>19</v>
      </c>
      <c r="G412" t="s">
        <v>39</v>
      </c>
      <c r="H412" t="s">
        <v>40</v>
      </c>
      <c r="I412">
        <v>13</v>
      </c>
      <c r="J412">
        <v>857.2</v>
      </c>
      <c r="K412">
        <v>11143.6</v>
      </c>
      <c r="L412" t="s">
        <v>22</v>
      </c>
      <c r="M412" t="s">
        <v>22</v>
      </c>
      <c r="N412" s="1">
        <v>46203</v>
      </c>
      <c r="O412">
        <v>11143.6</v>
      </c>
    </row>
    <row r="413" spans="1:15" x14ac:dyDescent="0.3">
      <c r="A413" t="s">
        <v>458</v>
      </c>
      <c r="B413" s="1">
        <v>45816</v>
      </c>
      <c r="C413" t="s">
        <v>437</v>
      </c>
      <c r="D413" t="s">
        <v>17</v>
      </c>
      <c r="E413" t="s">
        <v>18</v>
      </c>
      <c r="F413" t="s">
        <v>29</v>
      </c>
      <c r="G413" t="s">
        <v>39</v>
      </c>
      <c r="H413" t="s">
        <v>21</v>
      </c>
      <c r="I413">
        <v>13</v>
      </c>
      <c r="J413">
        <v>1424.43</v>
      </c>
      <c r="K413">
        <v>18517.59</v>
      </c>
      <c r="L413" t="s">
        <v>22</v>
      </c>
      <c r="M413" t="s">
        <v>22</v>
      </c>
      <c r="N413" s="1">
        <v>46203</v>
      </c>
      <c r="O413">
        <v>18517.59</v>
      </c>
    </row>
    <row r="414" spans="1:15" x14ac:dyDescent="0.3">
      <c r="A414" t="s">
        <v>459</v>
      </c>
      <c r="B414" s="1">
        <v>45816</v>
      </c>
      <c r="C414" t="s">
        <v>437</v>
      </c>
      <c r="D414" t="s">
        <v>24</v>
      </c>
      <c r="E414" t="s">
        <v>18</v>
      </c>
      <c r="F414" t="s">
        <v>29</v>
      </c>
      <c r="G414" t="s">
        <v>20</v>
      </c>
      <c r="H414" t="s">
        <v>21</v>
      </c>
      <c r="I414">
        <v>13</v>
      </c>
      <c r="J414">
        <v>966.41</v>
      </c>
      <c r="K414">
        <v>12563.33</v>
      </c>
      <c r="L414" t="s">
        <v>22</v>
      </c>
      <c r="M414" t="s">
        <v>22</v>
      </c>
      <c r="N414" s="1">
        <v>46203</v>
      </c>
      <c r="O414">
        <v>12563.33</v>
      </c>
    </row>
    <row r="415" spans="1:15" x14ac:dyDescent="0.3">
      <c r="A415" t="s">
        <v>460</v>
      </c>
      <c r="B415" s="1">
        <v>45816</v>
      </c>
      <c r="C415" t="s">
        <v>437</v>
      </c>
      <c r="D415" t="s">
        <v>17</v>
      </c>
      <c r="E415" t="s">
        <v>50</v>
      </c>
      <c r="F415" t="s">
        <v>29</v>
      </c>
      <c r="G415" t="s">
        <v>39</v>
      </c>
      <c r="H415" t="s">
        <v>21</v>
      </c>
      <c r="I415">
        <v>13</v>
      </c>
      <c r="J415">
        <v>1435.66</v>
      </c>
      <c r="K415">
        <v>18663.580000000002</v>
      </c>
      <c r="L415" t="s">
        <v>22</v>
      </c>
      <c r="M415" t="s">
        <v>22</v>
      </c>
      <c r="N415" s="1">
        <v>46203</v>
      </c>
      <c r="O415">
        <v>18663.580000000002</v>
      </c>
    </row>
    <row r="416" spans="1:15" x14ac:dyDescent="0.3">
      <c r="A416" t="s">
        <v>461</v>
      </c>
      <c r="B416" s="1">
        <v>45816</v>
      </c>
      <c r="C416" t="s">
        <v>437</v>
      </c>
      <c r="D416" t="s">
        <v>24</v>
      </c>
      <c r="E416" t="s">
        <v>28</v>
      </c>
      <c r="F416" t="s">
        <v>51</v>
      </c>
      <c r="G416" t="s">
        <v>20</v>
      </c>
      <c r="H416" t="s">
        <v>45</v>
      </c>
      <c r="I416">
        <v>13</v>
      </c>
      <c r="J416">
        <v>923.35</v>
      </c>
      <c r="K416">
        <v>12003.55</v>
      </c>
      <c r="L416" t="s">
        <v>22</v>
      </c>
      <c r="M416" t="s">
        <v>22</v>
      </c>
      <c r="N416" s="1">
        <v>46203</v>
      </c>
      <c r="O416">
        <v>12003.55</v>
      </c>
    </row>
    <row r="417" spans="1:15" x14ac:dyDescent="0.3">
      <c r="A417" t="s">
        <v>462</v>
      </c>
      <c r="B417" s="1">
        <v>45816</v>
      </c>
      <c r="C417" t="s">
        <v>437</v>
      </c>
      <c r="D417" t="s">
        <v>17</v>
      </c>
      <c r="E417" t="s">
        <v>25</v>
      </c>
      <c r="F417" t="s">
        <v>38</v>
      </c>
      <c r="G417" t="s">
        <v>20</v>
      </c>
      <c r="H417" t="s">
        <v>21</v>
      </c>
      <c r="I417">
        <v>13</v>
      </c>
      <c r="J417">
        <v>1477.03</v>
      </c>
      <c r="K417">
        <v>19201.39</v>
      </c>
      <c r="L417" t="s">
        <v>22</v>
      </c>
      <c r="M417" t="s">
        <v>22</v>
      </c>
      <c r="N417" s="1">
        <v>46203</v>
      </c>
      <c r="O417">
        <v>19201.39</v>
      </c>
    </row>
    <row r="418" spans="1:15" x14ac:dyDescent="0.3">
      <c r="A418" t="s">
        <v>463</v>
      </c>
      <c r="B418" s="1">
        <v>45817</v>
      </c>
      <c r="C418" t="s">
        <v>437</v>
      </c>
      <c r="D418" t="s">
        <v>17</v>
      </c>
      <c r="E418" t="s">
        <v>28</v>
      </c>
      <c r="F418" t="s">
        <v>38</v>
      </c>
      <c r="G418" t="s">
        <v>39</v>
      </c>
      <c r="H418" t="s">
        <v>45</v>
      </c>
      <c r="I418">
        <v>12</v>
      </c>
      <c r="J418">
        <v>1624.85</v>
      </c>
      <c r="K418">
        <v>19498.2</v>
      </c>
      <c r="L418" t="s">
        <v>30</v>
      </c>
      <c r="M418" t="s">
        <v>31</v>
      </c>
      <c r="N418" s="1">
        <v>46171</v>
      </c>
      <c r="O418">
        <v>19498.2</v>
      </c>
    </row>
    <row r="419" spans="1:15" x14ac:dyDescent="0.3">
      <c r="A419" t="s">
        <v>464</v>
      </c>
      <c r="B419" s="1">
        <v>45817</v>
      </c>
      <c r="C419" t="s">
        <v>437</v>
      </c>
      <c r="D419" t="s">
        <v>17</v>
      </c>
      <c r="E419" t="s">
        <v>18</v>
      </c>
      <c r="F419" t="s">
        <v>29</v>
      </c>
      <c r="G419" t="s">
        <v>39</v>
      </c>
      <c r="H419" t="s">
        <v>21</v>
      </c>
      <c r="I419">
        <v>13</v>
      </c>
      <c r="J419">
        <v>1517.8</v>
      </c>
      <c r="K419">
        <v>19731.400000000001</v>
      </c>
      <c r="L419" t="s">
        <v>22</v>
      </c>
      <c r="M419" t="s">
        <v>22</v>
      </c>
      <c r="N419" s="1">
        <v>46203</v>
      </c>
      <c r="O419">
        <v>19731.400000000001</v>
      </c>
    </row>
    <row r="420" spans="1:15" x14ac:dyDescent="0.3">
      <c r="A420" t="s">
        <v>465</v>
      </c>
      <c r="B420" s="1">
        <v>45817</v>
      </c>
      <c r="C420" t="s">
        <v>437</v>
      </c>
      <c r="D420" t="s">
        <v>24</v>
      </c>
      <c r="E420" t="s">
        <v>25</v>
      </c>
      <c r="F420" t="s">
        <v>38</v>
      </c>
      <c r="G420" t="s">
        <v>20</v>
      </c>
      <c r="H420" t="s">
        <v>34</v>
      </c>
      <c r="I420">
        <v>13</v>
      </c>
      <c r="J420">
        <v>878.24</v>
      </c>
      <c r="K420">
        <v>11417.12</v>
      </c>
      <c r="L420" t="s">
        <v>22</v>
      </c>
      <c r="M420" t="s">
        <v>22</v>
      </c>
      <c r="N420" s="1">
        <v>46203</v>
      </c>
      <c r="O420">
        <v>11417.12</v>
      </c>
    </row>
    <row r="421" spans="1:15" x14ac:dyDescent="0.3">
      <c r="A421" t="s">
        <v>466</v>
      </c>
      <c r="B421" s="1">
        <v>45818</v>
      </c>
      <c r="C421" t="s">
        <v>437</v>
      </c>
      <c r="D421" t="s">
        <v>24</v>
      </c>
      <c r="E421" t="s">
        <v>25</v>
      </c>
      <c r="F421" t="s">
        <v>38</v>
      </c>
      <c r="G421" t="s">
        <v>20</v>
      </c>
      <c r="H421" t="s">
        <v>21</v>
      </c>
      <c r="I421">
        <v>13</v>
      </c>
      <c r="J421">
        <v>888.74</v>
      </c>
      <c r="K421">
        <v>11553.62</v>
      </c>
      <c r="L421" t="s">
        <v>22</v>
      </c>
      <c r="M421" t="s">
        <v>22</v>
      </c>
      <c r="N421" s="1">
        <v>46203</v>
      </c>
      <c r="O421">
        <v>11553.62</v>
      </c>
    </row>
    <row r="422" spans="1:15" x14ac:dyDescent="0.3">
      <c r="A422" t="s">
        <v>467</v>
      </c>
      <c r="B422" s="1">
        <v>45818</v>
      </c>
      <c r="C422" t="s">
        <v>437</v>
      </c>
      <c r="D422" t="s">
        <v>49</v>
      </c>
      <c r="E422" t="s">
        <v>25</v>
      </c>
      <c r="F422" t="s">
        <v>29</v>
      </c>
      <c r="G422" t="s">
        <v>20</v>
      </c>
      <c r="H422" t="s">
        <v>40</v>
      </c>
      <c r="I422">
        <v>12</v>
      </c>
      <c r="J422">
        <v>539.64</v>
      </c>
      <c r="K422">
        <v>6475.68</v>
      </c>
      <c r="L422" t="s">
        <v>30</v>
      </c>
      <c r="M422" t="s">
        <v>31</v>
      </c>
      <c r="N422" s="1">
        <v>46198</v>
      </c>
      <c r="O422">
        <v>6475.68</v>
      </c>
    </row>
    <row r="423" spans="1:15" x14ac:dyDescent="0.3">
      <c r="A423" t="s">
        <v>468</v>
      </c>
      <c r="B423" s="1">
        <v>45818</v>
      </c>
      <c r="C423" t="s">
        <v>437</v>
      </c>
      <c r="D423" t="s">
        <v>24</v>
      </c>
      <c r="E423" t="s">
        <v>28</v>
      </c>
      <c r="F423" t="s">
        <v>38</v>
      </c>
      <c r="G423" t="s">
        <v>20</v>
      </c>
      <c r="H423" t="s">
        <v>40</v>
      </c>
      <c r="I423">
        <v>13</v>
      </c>
      <c r="J423">
        <v>921.66</v>
      </c>
      <c r="K423">
        <v>11981.58</v>
      </c>
      <c r="L423" t="s">
        <v>22</v>
      </c>
      <c r="M423" t="s">
        <v>22</v>
      </c>
      <c r="N423" s="1">
        <v>46203</v>
      </c>
      <c r="O423">
        <v>11981.58</v>
      </c>
    </row>
    <row r="424" spans="1:15" x14ac:dyDescent="0.3">
      <c r="A424" t="s">
        <v>469</v>
      </c>
      <c r="B424" s="1">
        <v>45819</v>
      </c>
      <c r="C424" t="s">
        <v>437</v>
      </c>
      <c r="D424" t="s">
        <v>49</v>
      </c>
      <c r="E424" t="s">
        <v>18</v>
      </c>
      <c r="F424" t="s">
        <v>33</v>
      </c>
      <c r="G424" t="s">
        <v>39</v>
      </c>
      <c r="H424" t="s">
        <v>34</v>
      </c>
      <c r="I424">
        <v>3</v>
      </c>
      <c r="J424">
        <v>508.89</v>
      </c>
      <c r="K424">
        <v>1526.67</v>
      </c>
      <c r="L424" t="s">
        <v>30</v>
      </c>
      <c r="M424" t="s">
        <v>31</v>
      </c>
      <c r="N424" s="1">
        <v>45901</v>
      </c>
      <c r="O424">
        <v>1526.67</v>
      </c>
    </row>
    <row r="425" spans="1:15" x14ac:dyDescent="0.3">
      <c r="A425" t="s">
        <v>470</v>
      </c>
      <c r="B425" s="1">
        <v>45819</v>
      </c>
      <c r="C425" t="s">
        <v>437</v>
      </c>
      <c r="D425" t="s">
        <v>24</v>
      </c>
      <c r="E425" t="s">
        <v>18</v>
      </c>
      <c r="F425" t="s">
        <v>33</v>
      </c>
      <c r="G425" t="s">
        <v>20</v>
      </c>
      <c r="H425" t="s">
        <v>21</v>
      </c>
      <c r="I425">
        <v>13</v>
      </c>
      <c r="J425">
        <v>982.63</v>
      </c>
      <c r="K425">
        <v>12774.19</v>
      </c>
      <c r="L425" t="s">
        <v>22</v>
      </c>
      <c r="M425" t="s">
        <v>22</v>
      </c>
      <c r="N425" s="1">
        <v>46203</v>
      </c>
      <c r="O425">
        <v>12774.19</v>
      </c>
    </row>
    <row r="426" spans="1:15" x14ac:dyDescent="0.3">
      <c r="A426" t="s">
        <v>471</v>
      </c>
      <c r="B426" s="1">
        <v>45819</v>
      </c>
      <c r="C426" t="s">
        <v>437</v>
      </c>
      <c r="D426" t="s">
        <v>17</v>
      </c>
      <c r="E426" t="s">
        <v>25</v>
      </c>
      <c r="F426" t="s">
        <v>29</v>
      </c>
      <c r="G426" t="s">
        <v>39</v>
      </c>
      <c r="H426" t="s">
        <v>45</v>
      </c>
      <c r="I426">
        <v>13</v>
      </c>
      <c r="J426">
        <v>1422.12</v>
      </c>
      <c r="K426">
        <v>18487.560000000001</v>
      </c>
      <c r="L426" t="s">
        <v>22</v>
      </c>
      <c r="M426" t="s">
        <v>22</v>
      </c>
      <c r="N426" s="1">
        <v>46203</v>
      </c>
      <c r="O426">
        <v>18487.560000000001</v>
      </c>
    </row>
    <row r="427" spans="1:15" x14ac:dyDescent="0.3">
      <c r="A427" t="s">
        <v>472</v>
      </c>
      <c r="B427" s="1">
        <v>45819</v>
      </c>
      <c r="C427" t="s">
        <v>437</v>
      </c>
      <c r="D427" t="s">
        <v>49</v>
      </c>
      <c r="E427" t="s">
        <v>25</v>
      </c>
      <c r="F427" t="s">
        <v>19</v>
      </c>
      <c r="G427" t="s">
        <v>39</v>
      </c>
      <c r="H427" t="s">
        <v>40</v>
      </c>
      <c r="I427">
        <v>2</v>
      </c>
      <c r="J427">
        <v>529.99</v>
      </c>
      <c r="K427">
        <v>1059.98</v>
      </c>
      <c r="L427" t="s">
        <v>30</v>
      </c>
      <c r="M427" t="s">
        <v>43</v>
      </c>
      <c r="N427" s="1">
        <v>45871</v>
      </c>
      <c r="O427">
        <v>1059.98</v>
      </c>
    </row>
    <row r="428" spans="1:15" x14ac:dyDescent="0.3">
      <c r="A428" t="s">
        <v>473</v>
      </c>
      <c r="B428" s="1">
        <v>45820</v>
      </c>
      <c r="C428" t="s">
        <v>437</v>
      </c>
      <c r="D428" t="s">
        <v>49</v>
      </c>
      <c r="E428" t="s">
        <v>25</v>
      </c>
      <c r="F428" t="s">
        <v>33</v>
      </c>
      <c r="G428" t="s">
        <v>39</v>
      </c>
      <c r="H428" t="s">
        <v>45</v>
      </c>
      <c r="I428">
        <v>2</v>
      </c>
      <c r="J428">
        <v>511.26</v>
      </c>
      <c r="K428">
        <v>1022.52</v>
      </c>
      <c r="L428" t="s">
        <v>30</v>
      </c>
      <c r="M428" t="s">
        <v>36</v>
      </c>
      <c r="N428" s="1">
        <v>45875</v>
      </c>
      <c r="O428">
        <v>1022.52</v>
      </c>
    </row>
    <row r="429" spans="1:15" x14ac:dyDescent="0.3">
      <c r="A429" t="s">
        <v>474</v>
      </c>
      <c r="B429" s="1">
        <v>45820</v>
      </c>
      <c r="C429" t="s">
        <v>437</v>
      </c>
      <c r="D429" t="s">
        <v>49</v>
      </c>
      <c r="E429" t="s">
        <v>25</v>
      </c>
      <c r="F429" t="s">
        <v>38</v>
      </c>
      <c r="G429" t="s">
        <v>39</v>
      </c>
      <c r="H429" t="s">
        <v>21</v>
      </c>
      <c r="I429">
        <v>13</v>
      </c>
      <c r="J429">
        <v>450.62</v>
      </c>
      <c r="K429">
        <v>5858.06</v>
      </c>
      <c r="L429" t="s">
        <v>22</v>
      </c>
      <c r="M429" t="s">
        <v>22</v>
      </c>
      <c r="N429" s="1">
        <v>46203</v>
      </c>
      <c r="O429">
        <v>5858.06</v>
      </c>
    </row>
    <row r="430" spans="1:15" x14ac:dyDescent="0.3">
      <c r="A430" t="s">
        <v>475</v>
      </c>
      <c r="B430" s="1">
        <v>45820</v>
      </c>
      <c r="C430" t="s">
        <v>437</v>
      </c>
      <c r="D430" t="s">
        <v>49</v>
      </c>
      <c r="E430" t="s">
        <v>25</v>
      </c>
      <c r="F430" t="s">
        <v>33</v>
      </c>
      <c r="G430" t="s">
        <v>39</v>
      </c>
      <c r="H430" t="s">
        <v>34</v>
      </c>
      <c r="I430">
        <v>13</v>
      </c>
      <c r="J430">
        <v>504.33</v>
      </c>
      <c r="K430">
        <v>6556.29</v>
      </c>
      <c r="L430" t="s">
        <v>22</v>
      </c>
      <c r="M430" t="s">
        <v>22</v>
      </c>
      <c r="N430" s="1">
        <v>46203</v>
      </c>
      <c r="O430">
        <v>6556.29</v>
      </c>
    </row>
    <row r="431" spans="1:15" x14ac:dyDescent="0.3">
      <c r="A431" t="s">
        <v>476</v>
      </c>
      <c r="B431" s="1">
        <v>45820</v>
      </c>
      <c r="C431" t="s">
        <v>437</v>
      </c>
      <c r="D431" t="s">
        <v>24</v>
      </c>
      <c r="E431" t="s">
        <v>18</v>
      </c>
      <c r="F431" t="s">
        <v>19</v>
      </c>
      <c r="G431" t="s">
        <v>39</v>
      </c>
      <c r="H431" t="s">
        <v>34</v>
      </c>
      <c r="I431">
        <v>13</v>
      </c>
      <c r="J431">
        <v>929.47</v>
      </c>
      <c r="K431">
        <v>12083.11</v>
      </c>
      <c r="L431" t="s">
        <v>22</v>
      </c>
      <c r="M431" t="s">
        <v>22</v>
      </c>
      <c r="N431" s="1">
        <v>46203</v>
      </c>
      <c r="O431">
        <v>12083.11</v>
      </c>
    </row>
    <row r="432" spans="1:15" x14ac:dyDescent="0.3">
      <c r="A432" t="s">
        <v>477</v>
      </c>
      <c r="B432" s="1">
        <v>45820</v>
      </c>
      <c r="C432" t="s">
        <v>437</v>
      </c>
      <c r="D432" t="s">
        <v>24</v>
      </c>
      <c r="E432" t="s">
        <v>25</v>
      </c>
      <c r="F432" t="s">
        <v>51</v>
      </c>
      <c r="G432" t="s">
        <v>39</v>
      </c>
      <c r="H432" t="s">
        <v>45</v>
      </c>
      <c r="I432">
        <v>7</v>
      </c>
      <c r="J432">
        <v>983.79</v>
      </c>
      <c r="K432">
        <v>6886.53</v>
      </c>
      <c r="L432" t="s">
        <v>30</v>
      </c>
      <c r="M432" t="s">
        <v>36</v>
      </c>
      <c r="N432" s="1">
        <v>46042</v>
      </c>
      <c r="O432">
        <v>6886.53</v>
      </c>
    </row>
    <row r="433" spans="1:15" x14ac:dyDescent="0.3">
      <c r="A433" t="s">
        <v>478</v>
      </c>
      <c r="B433" s="1">
        <v>45821</v>
      </c>
      <c r="C433" t="s">
        <v>437</v>
      </c>
      <c r="D433" t="s">
        <v>24</v>
      </c>
      <c r="E433" t="s">
        <v>18</v>
      </c>
      <c r="F433" t="s">
        <v>33</v>
      </c>
      <c r="G433" t="s">
        <v>26</v>
      </c>
      <c r="H433" t="s">
        <v>40</v>
      </c>
      <c r="I433">
        <v>13</v>
      </c>
      <c r="J433">
        <v>826.78</v>
      </c>
      <c r="K433">
        <v>10748.14</v>
      </c>
      <c r="L433" t="s">
        <v>22</v>
      </c>
      <c r="M433" t="s">
        <v>22</v>
      </c>
      <c r="N433" s="1">
        <v>46203</v>
      </c>
      <c r="O433">
        <v>10748.14</v>
      </c>
    </row>
    <row r="434" spans="1:15" x14ac:dyDescent="0.3">
      <c r="A434" t="s">
        <v>479</v>
      </c>
      <c r="B434" s="1">
        <v>45821</v>
      </c>
      <c r="C434" t="s">
        <v>437</v>
      </c>
      <c r="D434" t="s">
        <v>24</v>
      </c>
      <c r="E434" t="s">
        <v>25</v>
      </c>
      <c r="F434" t="s">
        <v>51</v>
      </c>
      <c r="G434" t="s">
        <v>39</v>
      </c>
      <c r="H434" t="s">
        <v>34</v>
      </c>
      <c r="I434">
        <v>13</v>
      </c>
      <c r="J434">
        <v>927.51</v>
      </c>
      <c r="K434">
        <v>12057.63</v>
      </c>
      <c r="L434" t="s">
        <v>22</v>
      </c>
      <c r="M434" t="s">
        <v>22</v>
      </c>
      <c r="N434" s="1">
        <v>46203</v>
      </c>
      <c r="O434">
        <v>12057.63</v>
      </c>
    </row>
    <row r="435" spans="1:15" x14ac:dyDescent="0.3">
      <c r="A435" t="s">
        <v>480</v>
      </c>
      <c r="B435" s="1">
        <v>45821</v>
      </c>
      <c r="C435" t="s">
        <v>437</v>
      </c>
      <c r="D435" t="s">
        <v>49</v>
      </c>
      <c r="E435" t="s">
        <v>50</v>
      </c>
      <c r="F435" t="s">
        <v>29</v>
      </c>
      <c r="G435" t="s">
        <v>39</v>
      </c>
      <c r="H435" t="s">
        <v>40</v>
      </c>
      <c r="I435">
        <v>13</v>
      </c>
      <c r="J435">
        <v>484.87</v>
      </c>
      <c r="K435">
        <v>6303.31</v>
      </c>
      <c r="L435" t="s">
        <v>22</v>
      </c>
      <c r="M435" t="s">
        <v>22</v>
      </c>
      <c r="N435" s="1">
        <v>46203</v>
      </c>
      <c r="O435">
        <v>6303.31</v>
      </c>
    </row>
    <row r="436" spans="1:15" x14ac:dyDescent="0.3">
      <c r="A436" t="s">
        <v>481</v>
      </c>
      <c r="B436" s="1">
        <v>45822</v>
      </c>
      <c r="C436" t="s">
        <v>437</v>
      </c>
      <c r="D436" t="s">
        <v>24</v>
      </c>
      <c r="E436" t="s">
        <v>25</v>
      </c>
      <c r="F436" t="s">
        <v>19</v>
      </c>
      <c r="G436" t="s">
        <v>39</v>
      </c>
      <c r="H436" t="s">
        <v>34</v>
      </c>
      <c r="I436">
        <v>13</v>
      </c>
      <c r="J436">
        <v>870.8</v>
      </c>
      <c r="K436">
        <v>11320.4</v>
      </c>
      <c r="L436" t="s">
        <v>22</v>
      </c>
      <c r="M436" t="s">
        <v>22</v>
      </c>
      <c r="N436" s="1">
        <v>46203</v>
      </c>
      <c r="O436">
        <v>11320.4</v>
      </c>
    </row>
    <row r="437" spans="1:15" x14ac:dyDescent="0.3">
      <c r="A437" t="s">
        <v>482</v>
      </c>
      <c r="B437" s="1">
        <v>45822</v>
      </c>
      <c r="C437" t="s">
        <v>437</v>
      </c>
      <c r="D437" t="s">
        <v>17</v>
      </c>
      <c r="E437" t="s">
        <v>50</v>
      </c>
      <c r="F437" t="s">
        <v>33</v>
      </c>
      <c r="G437" t="s">
        <v>20</v>
      </c>
      <c r="H437" t="s">
        <v>45</v>
      </c>
      <c r="I437">
        <v>13</v>
      </c>
      <c r="J437">
        <v>1554.78</v>
      </c>
      <c r="K437">
        <v>20212.14</v>
      </c>
      <c r="L437" t="s">
        <v>22</v>
      </c>
      <c r="M437" t="s">
        <v>22</v>
      </c>
      <c r="N437" s="1">
        <v>46203</v>
      </c>
      <c r="O437">
        <v>20212.14</v>
      </c>
    </row>
    <row r="438" spans="1:15" x14ac:dyDescent="0.3">
      <c r="A438" t="s">
        <v>483</v>
      </c>
      <c r="B438" s="1">
        <v>45822</v>
      </c>
      <c r="C438" t="s">
        <v>437</v>
      </c>
      <c r="D438" t="s">
        <v>17</v>
      </c>
      <c r="E438" t="s">
        <v>25</v>
      </c>
      <c r="F438" t="s">
        <v>29</v>
      </c>
      <c r="G438" t="s">
        <v>20</v>
      </c>
      <c r="H438" t="s">
        <v>21</v>
      </c>
      <c r="I438">
        <v>13</v>
      </c>
      <c r="J438">
        <v>1520.04</v>
      </c>
      <c r="K438">
        <v>19760.52</v>
      </c>
      <c r="L438" t="s">
        <v>22</v>
      </c>
      <c r="M438" t="s">
        <v>22</v>
      </c>
      <c r="N438" s="1">
        <v>46203</v>
      </c>
      <c r="O438">
        <v>19760.52</v>
      </c>
    </row>
    <row r="439" spans="1:15" x14ac:dyDescent="0.3">
      <c r="A439" t="s">
        <v>484</v>
      </c>
      <c r="B439" s="1">
        <v>45823</v>
      </c>
      <c r="C439" t="s">
        <v>437</v>
      </c>
      <c r="D439" t="s">
        <v>24</v>
      </c>
      <c r="E439" t="s">
        <v>50</v>
      </c>
      <c r="F439" t="s">
        <v>38</v>
      </c>
      <c r="G439" t="s">
        <v>39</v>
      </c>
      <c r="H439" t="s">
        <v>40</v>
      </c>
      <c r="I439">
        <v>12</v>
      </c>
      <c r="J439">
        <v>898.76</v>
      </c>
      <c r="K439">
        <v>10785.12</v>
      </c>
      <c r="L439" t="s">
        <v>22</v>
      </c>
      <c r="M439" t="s">
        <v>22</v>
      </c>
      <c r="N439" s="1">
        <v>46203</v>
      </c>
      <c r="O439">
        <v>10785.12</v>
      </c>
    </row>
    <row r="440" spans="1:15" x14ac:dyDescent="0.3">
      <c r="A440" t="s">
        <v>485</v>
      </c>
      <c r="B440" s="1">
        <v>45823</v>
      </c>
      <c r="C440" t="s">
        <v>437</v>
      </c>
      <c r="D440" t="s">
        <v>24</v>
      </c>
      <c r="E440" t="s">
        <v>18</v>
      </c>
      <c r="F440" t="s">
        <v>33</v>
      </c>
      <c r="G440" t="s">
        <v>39</v>
      </c>
      <c r="H440" t="s">
        <v>21</v>
      </c>
      <c r="I440">
        <v>12</v>
      </c>
      <c r="J440">
        <v>900.66</v>
      </c>
      <c r="K440">
        <v>10807.92</v>
      </c>
      <c r="L440" t="s">
        <v>22</v>
      </c>
      <c r="M440" t="s">
        <v>22</v>
      </c>
      <c r="N440" s="1">
        <v>46203</v>
      </c>
      <c r="O440">
        <v>10807.92</v>
      </c>
    </row>
    <row r="441" spans="1:15" x14ac:dyDescent="0.3">
      <c r="A441" t="s">
        <v>486</v>
      </c>
      <c r="B441" s="1">
        <v>45823</v>
      </c>
      <c r="C441" t="s">
        <v>437</v>
      </c>
      <c r="D441" t="s">
        <v>24</v>
      </c>
      <c r="E441" t="s">
        <v>18</v>
      </c>
      <c r="F441" t="s">
        <v>38</v>
      </c>
      <c r="G441" t="s">
        <v>39</v>
      </c>
      <c r="H441" t="s">
        <v>40</v>
      </c>
      <c r="I441">
        <v>12</v>
      </c>
      <c r="J441">
        <v>976.05</v>
      </c>
      <c r="K441">
        <v>11712.6</v>
      </c>
      <c r="L441" t="s">
        <v>22</v>
      </c>
      <c r="M441" t="s">
        <v>22</v>
      </c>
      <c r="N441" s="1">
        <v>46203</v>
      </c>
      <c r="O441">
        <v>11712.6</v>
      </c>
    </row>
    <row r="442" spans="1:15" x14ac:dyDescent="0.3">
      <c r="A442" t="s">
        <v>487</v>
      </c>
      <c r="B442" s="1">
        <v>45824</v>
      </c>
      <c r="C442" t="s">
        <v>437</v>
      </c>
      <c r="D442" t="s">
        <v>49</v>
      </c>
      <c r="E442" t="s">
        <v>50</v>
      </c>
      <c r="F442" t="s">
        <v>19</v>
      </c>
      <c r="G442" t="s">
        <v>39</v>
      </c>
      <c r="H442" t="s">
        <v>45</v>
      </c>
      <c r="I442">
        <v>6</v>
      </c>
      <c r="J442">
        <v>540.15</v>
      </c>
      <c r="K442">
        <v>3240.9</v>
      </c>
      <c r="L442" t="s">
        <v>30</v>
      </c>
      <c r="M442" t="s">
        <v>31</v>
      </c>
      <c r="N442" s="1">
        <v>45996</v>
      </c>
      <c r="O442">
        <v>3240.9</v>
      </c>
    </row>
    <row r="443" spans="1:15" x14ac:dyDescent="0.3">
      <c r="A443" t="s">
        <v>488</v>
      </c>
      <c r="B443" s="1">
        <v>45824</v>
      </c>
      <c r="C443" t="s">
        <v>437</v>
      </c>
      <c r="D443" t="s">
        <v>24</v>
      </c>
      <c r="E443" t="s">
        <v>25</v>
      </c>
      <c r="F443" t="s">
        <v>38</v>
      </c>
      <c r="G443" t="s">
        <v>39</v>
      </c>
      <c r="H443" t="s">
        <v>40</v>
      </c>
      <c r="I443">
        <v>12</v>
      </c>
      <c r="J443">
        <v>820.67</v>
      </c>
      <c r="K443">
        <v>9848.0400000000009</v>
      </c>
      <c r="L443" t="s">
        <v>22</v>
      </c>
      <c r="M443" t="s">
        <v>22</v>
      </c>
      <c r="N443" s="1">
        <v>46203</v>
      </c>
      <c r="O443">
        <v>9848.0400000000009</v>
      </c>
    </row>
    <row r="444" spans="1:15" x14ac:dyDescent="0.3">
      <c r="A444" t="s">
        <v>489</v>
      </c>
      <c r="B444" s="1">
        <v>45824</v>
      </c>
      <c r="C444" t="s">
        <v>437</v>
      </c>
      <c r="D444" t="s">
        <v>49</v>
      </c>
      <c r="E444" t="s">
        <v>28</v>
      </c>
      <c r="F444" t="s">
        <v>19</v>
      </c>
      <c r="G444" t="s">
        <v>39</v>
      </c>
      <c r="H444" t="s">
        <v>21</v>
      </c>
      <c r="I444">
        <v>12</v>
      </c>
      <c r="J444">
        <v>502.62</v>
      </c>
      <c r="K444">
        <v>6031.44</v>
      </c>
      <c r="L444" t="s">
        <v>22</v>
      </c>
      <c r="M444" t="s">
        <v>22</v>
      </c>
      <c r="N444" s="1">
        <v>46203</v>
      </c>
      <c r="O444">
        <v>6031.44</v>
      </c>
    </row>
    <row r="445" spans="1:15" x14ac:dyDescent="0.3">
      <c r="A445" t="s">
        <v>490</v>
      </c>
      <c r="B445" s="1">
        <v>45824</v>
      </c>
      <c r="C445" t="s">
        <v>437</v>
      </c>
      <c r="D445" t="s">
        <v>49</v>
      </c>
      <c r="E445" t="s">
        <v>28</v>
      </c>
      <c r="F445" t="s">
        <v>51</v>
      </c>
      <c r="G445" t="s">
        <v>39</v>
      </c>
      <c r="H445" t="s">
        <v>21</v>
      </c>
      <c r="I445">
        <v>11</v>
      </c>
      <c r="J445">
        <v>537.04</v>
      </c>
      <c r="K445">
        <v>5907.44</v>
      </c>
      <c r="L445" t="s">
        <v>30</v>
      </c>
      <c r="M445" t="s">
        <v>36</v>
      </c>
      <c r="N445" s="1">
        <v>46160</v>
      </c>
      <c r="O445">
        <v>5907.44</v>
      </c>
    </row>
    <row r="446" spans="1:15" x14ac:dyDescent="0.3">
      <c r="A446" t="s">
        <v>491</v>
      </c>
      <c r="B446" s="1">
        <v>45825</v>
      </c>
      <c r="C446" t="s">
        <v>437</v>
      </c>
      <c r="D446" t="s">
        <v>49</v>
      </c>
      <c r="E446" t="s">
        <v>25</v>
      </c>
      <c r="F446" t="s">
        <v>19</v>
      </c>
      <c r="G446" t="s">
        <v>39</v>
      </c>
      <c r="H446" t="s">
        <v>21</v>
      </c>
      <c r="I446">
        <v>9</v>
      </c>
      <c r="J446">
        <v>513.41</v>
      </c>
      <c r="K446">
        <v>4620.6899999999996</v>
      </c>
      <c r="L446" t="s">
        <v>30</v>
      </c>
      <c r="M446" t="s">
        <v>80</v>
      </c>
      <c r="N446" s="1">
        <v>46091</v>
      </c>
      <c r="O446">
        <v>4620.6899999999996</v>
      </c>
    </row>
    <row r="447" spans="1:15" x14ac:dyDescent="0.3">
      <c r="A447" t="s">
        <v>492</v>
      </c>
      <c r="B447" s="1">
        <v>45825</v>
      </c>
      <c r="C447" t="s">
        <v>437</v>
      </c>
      <c r="D447" t="s">
        <v>24</v>
      </c>
      <c r="E447" t="s">
        <v>25</v>
      </c>
      <c r="F447" t="s">
        <v>29</v>
      </c>
      <c r="G447" t="s">
        <v>20</v>
      </c>
      <c r="H447" t="s">
        <v>40</v>
      </c>
      <c r="I447">
        <v>12</v>
      </c>
      <c r="J447">
        <v>837.42</v>
      </c>
      <c r="K447">
        <v>10049.040000000001</v>
      </c>
      <c r="L447" t="s">
        <v>22</v>
      </c>
      <c r="M447" t="s">
        <v>22</v>
      </c>
      <c r="N447" s="1">
        <v>46203</v>
      </c>
      <c r="O447">
        <v>10049.040000000001</v>
      </c>
    </row>
    <row r="448" spans="1:15" x14ac:dyDescent="0.3">
      <c r="A448" t="s">
        <v>493</v>
      </c>
      <c r="B448" s="1">
        <v>45825</v>
      </c>
      <c r="C448" t="s">
        <v>437</v>
      </c>
      <c r="D448" t="s">
        <v>17</v>
      </c>
      <c r="E448" t="s">
        <v>25</v>
      </c>
      <c r="F448" t="s">
        <v>38</v>
      </c>
      <c r="G448" t="s">
        <v>20</v>
      </c>
      <c r="H448" t="s">
        <v>40</v>
      </c>
      <c r="I448">
        <v>5</v>
      </c>
      <c r="J448">
        <v>1544.48</v>
      </c>
      <c r="K448">
        <v>7722.4</v>
      </c>
      <c r="L448" t="s">
        <v>30</v>
      </c>
      <c r="M448" t="s">
        <v>31</v>
      </c>
      <c r="N448" s="1">
        <v>45962</v>
      </c>
      <c r="O448">
        <v>7722.4</v>
      </c>
    </row>
    <row r="449" spans="1:15" x14ac:dyDescent="0.3">
      <c r="A449" t="s">
        <v>494</v>
      </c>
      <c r="B449" s="1">
        <v>45825</v>
      </c>
      <c r="C449" t="s">
        <v>437</v>
      </c>
      <c r="D449" t="s">
        <v>24</v>
      </c>
      <c r="E449" t="s">
        <v>25</v>
      </c>
      <c r="F449" t="s">
        <v>19</v>
      </c>
      <c r="G449" t="s">
        <v>39</v>
      </c>
      <c r="H449" t="s">
        <v>21</v>
      </c>
      <c r="I449">
        <v>12</v>
      </c>
      <c r="J449">
        <v>907.89</v>
      </c>
      <c r="K449">
        <v>10894.68</v>
      </c>
      <c r="L449" t="s">
        <v>22</v>
      </c>
      <c r="M449" t="s">
        <v>22</v>
      </c>
      <c r="N449" s="1">
        <v>46203</v>
      </c>
      <c r="O449">
        <v>10894.68</v>
      </c>
    </row>
    <row r="450" spans="1:15" x14ac:dyDescent="0.3">
      <c r="A450" t="s">
        <v>495</v>
      </c>
      <c r="B450" s="1">
        <v>45825</v>
      </c>
      <c r="C450" t="s">
        <v>437</v>
      </c>
      <c r="D450" t="s">
        <v>49</v>
      </c>
      <c r="E450" t="s">
        <v>18</v>
      </c>
      <c r="F450" t="s">
        <v>38</v>
      </c>
      <c r="G450" t="s">
        <v>39</v>
      </c>
      <c r="H450" t="s">
        <v>40</v>
      </c>
      <c r="I450">
        <v>12</v>
      </c>
      <c r="J450">
        <v>468.53</v>
      </c>
      <c r="K450">
        <v>5622.36</v>
      </c>
      <c r="L450" t="s">
        <v>22</v>
      </c>
      <c r="M450" t="s">
        <v>22</v>
      </c>
      <c r="N450" s="1">
        <v>46203</v>
      </c>
      <c r="O450">
        <v>5622.36</v>
      </c>
    </row>
    <row r="451" spans="1:15" x14ac:dyDescent="0.3">
      <c r="A451" t="s">
        <v>496</v>
      </c>
      <c r="B451" s="1">
        <v>45826</v>
      </c>
      <c r="C451" t="s">
        <v>437</v>
      </c>
      <c r="D451" t="s">
        <v>24</v>
      </c>
      <c r="E451" t="s">
        <v>25</v>
      </c>
      <c r="F451" t="s">
        <v>38</v>
      </c>
      <c r="G451" t="s">
        <v>39</v>
      </c>
      <c r="H451" t="s">
        <v>45</v>
      </c>
      <c r="I451">
        <v>12</v>
      </c>
      <c r="J451">
        <v>948.14</v>
      </c>
      <c r="K451">
        <v>11377.68</v>
      </c>
      <c r="L451" t="s">
        <v>22</v>
      </c>
      <c r="M451" t="s">
        <v>22</v>
      </c>
      <c r="N451" s="1">
        <v>46203</v>
      </c>
      <c r="O451">
        <v>11377.68</v>
      </c>
    </row>
    <row r="452" spans="1:15" x14ac:dyDescent="0.3">
      <c r="A452" t="s">
        <v>497</v>
      </c>
      <c r="B452" s="1">
        <v>45826</v>
      </c>
      <c r="C452" t="s">
        <v>437</v>
      </c>
      <c r="D452" t="s">
        <v>24</v>
      </c>
      <c r="E452" t="s">
        <v>28</v>
      </c>
      <c r="F452" t="s">
        <v>29</v>
      </c>
      <c r="G452" t="s">
        <v>20</v>
      </c>
      <c r="H452" t="s">
        <v>40</v>
      </c>
      <c r="I452">
        <v>12</v>
      </c>
      <c r="J452">
        <v>877.9</v>
      </c>
      <c r="K452">
        <v>10534.8</v>
      </c>
      <c r="L452" t="s">
        <v>22</v>
      </c>
      <c r="M452" t="s">
        <v>22</v>
      </c>
      <c r="N452" s="1">
        <v>46203</v>
      </c>
      <c r="O452">
        <v>10534.8</v>
      </c>
    </row>
    <row r="453" spans="1:15" x14ac:dyDescent="0.3">
      <c r="A453" t="s">
        <v>498</v>
      </c>
      <c r="B453" s="1">
        <v>45826</v>
      </c>
      <c r="C453" t="s">
        <v>437</v>
      </c>
      <c r="D453" t="s">
        <v>17</v>
      </c>
      <c r="E453" t="s">
        <v>28</v>
      </c>
      <c r="F453" t="s">
        <v>33</v>
      </c>
      <c r="G453" t="s">
        <v>39</v>
      </c>
      <c r="H453" t="s">
        <v>45</v>
      </c>
      <c r="I453">
        <v>12</v>
      </c>
      <c r="J453">
        <v>1605.23</v>
      </c>
      <c r="K453">
        <v>19262.759999999998</v>
      </c>
      <c r="L453" t="s">
        <v>30</v>
      </c>
      <c r="M453" t="s">
        <v>31</v>
      </c>
      <c r="N453" s="1">
        <v>46192</v>
      </c>
      <c r="O453">
        <v>19262.759999999998</v>
      </c>
    </row>
    <row r="454" spans="1:15" x14ac:dyDescent="0.3">
      <c r="A454" t="s">
        <v>499</v>
      </c>
      <c r="B454" s="1">
        <v>45826</v>
      </c>
      <c r="C454" t="s">
        <v>437</v>
      </c>
      <c r="D454" t="s">
        <v>24</v>
      </c>
      <c r="E454" t="s">
        <v>50</v>
      </c>
      <c r="F454" t="s">
        <v>19</v>
      </c>
      <c r="G454" t="s">
        <v>20</v>
      </c>
      <c r="H454" t="s">
        <v>21</v>
      </c>
      <c r="I454">
        <v>12</v>
      </c>
      <c r="J454">
        <v>971.6</v>
      </c>
      <c r="K454">
        <v>11659.2</v>
      </c>
      <c r="L454" t="s">
        <v>30</v>
      </c>
      <c r="M454" t="s">
        <v>41</v>
      </c>
      <c r="N454" s="1">
        <v>46195</v>
      </c>
      <c r="O454">
        <v>11659.2</v>
      </c>
    </row>
    <row r="455" spans="1:15" x14ac:dyDescent="0.3">
      <c r="A455" t="s">
        <v>500</v>
      </c>
      <c r="B455" s="1">
        <v>45826</v>
      </c>
      <c r="C455" t="s">
        <v>437</v>
      </c>
      <c r="D455" t="s">
        <v>24</v>
      </c>
      <c r="E455" t="s">
        <v>28</v>
      </c>
      <c r="F455" t="s">
        <v>38</v>
      </c>
      <c r="G455" t="s">
        <v>39</v>
      </c>
      <c r="H455" t="s">
        <v>21</v>
      </c>
      <c r="I455">
        <v>12</v>
      </c>
      <c r="J455">
        <v>899.22</v>
      </c>
      <c r="K455">
        <v>10790.64</v>
      </c>
      <c r="L455" t="s">
        <v>22</v>
      </c>
      <c r="M455" t="s">
        <v>22</v>
      </c>
      <c r="N455" s="1">
        <v>46203</v>
      </c>
      <c r="O455">
        <v>10790.64</v>
      </c>
    </row>
    <row r="456" spans="1:15" x14ac:dyDescent="0.3">
      <c r="A456" t="s">
        <v>501</v>
      </c>
      <c r="B456" s="1">
        <v>45826</v>
      </c>
      <c r="C456" t="s">
        <v>437</v>
      </c>
      <c r="D456" t="s">
        <v>49</v>
      </c>
      <c r="E456" t="s">
        <v>28</v>
      </c>
      <c r="F456" t="s">
        <v>33</v>
      </c>
      <c r="G456" t="s">
        <v>39</v>
      </c>
      <c r="H456" t="s">
        <v>21</v>
      </c>
      <c r="I456">
        <v>12</v>
      </c>
      <c r="J456">
        <v>515.67999999999995</v>
      </c>
      <c r="K456">
        <v>6188.16</v>
      </c>
      <c r="L456" t="s">
        <v>22</v>
      </c>
      <c r="M456" t="s">
        <v>22</v>
      </c>
      <c r="N456" s="1">
        <v>46203</v>
      </c>
      <c r="O456">
        <v>6188.16</v>
      </c>
    </row>
    <row r="457" spans="1:15" x14ac:dyDescent="0.3">
      <c r="A457" t="s">
        <v>502</v>
      </c>
      <c r="B457" s="1">
        <v>45827</v>
      </c>
      <c r="C457" t="s">
        <v>437</v>
      </c>
      <c r="D457" t="s">
        <v>49</v>
      </c>
      <c r="E457" t="s">
        <v>50</v>
      </c>
      <c r="F457" t="s">
        <v>33</v>
      </c>
      <c r="G457" t="s">
        <v>26</v>
      </c>
      <c r="H457" t="s">
        <v>21</v>
      </c>
      <c r="I457">
        <v>12</v>
      </c>
      <c r="J457">
        <v>476.6</v>
      </c>
      <c r="K457">
        <v>5719.2</v>
      </c>
      <c r="L457" t="s">
        <v>22</v>
      </c>
      <c r="M457" t="s">
        <v>22</v>
      </c>
      <c r="N457" s="1">
        <v>46203</v>
      </c>
      <c r="O457">
        <v>5719.2</v>
      </c>
    </row>
    <row r="458" spans="1:15" x14ac:dyDescent="0.3">
      <c r="A458" t="s">
        <v>503</v>
      </c>
      <c r="B458" s="1">
        <v>45828</v>
      </c>
      <c r="C458" t="s">
        <v>437</v>
      </c>
      <c r="D458" t="s">
        <v>17</v>
      </c>
      <c r="E458" t="s">
        <v>25</v>
      </c>
      <c r="F458" t="s">
        <v>51</v>
      </c>
      <c r="G458" t="s">
        <v>39</v>
      </c>
      <c r="H458" t="s">
        <v>45</v>
      </c>
      <c r="I458">
        <v>12</v>
      </c>
      <c r="J458">
        <v>1647.52</v>
      </c>
      <c r="K458">
        <v>19770.240000000002</v>
      </c>
      <c r="L458" t="s">
        <v>22</v>
      </c>
      <c r="M458" t="s">
        <v>22</v>
      </c>
      <c r="N458" s="1">
        <v>46203</v>
      </c>
      <c r="O458">
        <v>19770.240000000002</v>
      </c>
    </row>
    <row r="459" spans="1:15" x14ac:dyDescent="0.3">
      <c r="A459" t="s">
        <v>504</v>
      </c>
      <c r="B459" s="1">
        <v>45828</v>
      </c>
      <c r="C459" t="s">
        <v>437</v>
      </c>
      <c r="D459" t="s">
        <v>24</v>
      </c>
      <c r="E459" t="s">
        <v>25</v>
      </c>
      <c r="F459" t="s">
        <v>33</v>
      </c>
      <c r="G459" t="s">
        <v>39</v>
      </c>
      <c r="H459" t="s">
        <v>21</v>
      </c>
      <c r="I459">
        <v>12</v>
      </c>
      <c r="J459">
        <v>961.22</v>
      </c>
      <c r="K459">
        <v>11534.64</v>
      </c>
      <c r="L459" t="s">
        <v>22</v>
      </c>
      <c r="M459" t="s">
        <v>22</v>
      </c>
      <c r="N459" s="1">
        <v>46203</v>
      </c>
      <c r="O459">
        <v>11534.64</v>
      </c>
    </row>
    <row r="460" spans="1:15" x14ac:dyDescent="0.3">
      <c r="A460" t="s">
        <v>505</v>
      </c>
      <c r="B460" s="1">
        <v>45828</v>
      </c>
      <c r="C460" t="s">
        <v>437</v>
      </c>
      <c r="D460" t="s">
        <v>17</v>
      </c>
      <c r="E460" t="s">
        <v>25</v>
      </c>
      <c r="F460" t="s">
        <v>51</v>
      </c>
      <c r="G460" t="s">
        <v>39</v>
      </c>
      <c r="H460" t="s">
        <v>34</v>
      </c>
      <c r="I460">
        <v>4</v>
      </c>
      <c r="J460">
        <v>1401.89</v>
      </c>
      <c r="K460">
        <v>5607.56</v>
      </c>
      <c r="L460" t="s">
        <v>30</v>
      </c>
      <c r="M460" t="s">
        <v>31</v>
      </c>
      <c r="N460" s="1">
        <v>45959</v>
      </c>
      <c r="O460">
        <v>5607.56</v>
      </c>
    </row>
    <row r="461" spans="1:15" x14ac:dyDescent="0.3">
      <c r="A461" t="s">
        <v>506</v>
      </c>
      <c r="B461" s="1">
        <v>45828</v>
      </c>
      <c r="C461" t="s">
        <v>437</v>
      </c>
      <c r="D461" t="s">
        <v>24</v>
      </c>
      <c r="E461" t="s">
        <v>18</v>
      </c>
      <c r="F461" t="s">
        <v>19</v>
      </c>
      <c r="G461" t="s">
        <v>20</v>
      </c>
      <c r="H461" t="s">
        <v>40</v>
      </c>
      <c r="I461">
        <v>12</v>
      </c>
      <c r="J461">
        <v>936.37</v>
      </c>
      <c r="K461">
        <v>11236.44</v>
      </c>
      <c r="L461" t="s">
        <v>22</v>
      </c>
      <c r="M461" t="s">
        <v>22</v>
      </c>
      <c r="N461" s="1">
        <v>46203</v>
      </c>
      <c r="O461">
        <v>11236.44</v>
      </c>
    </row>
    <row r="462" spans="1:15" x14ac:dyDescent="0.3">
      <c r="A462" t="s">
        <v>507</v>
      </c>
      <c r="B462" s="1">
        <v>45829</v>
      </c>
      <c r="C462" t="s">
        <v>437</v>
      </c>
      <c r="D462" t="s">
        <v>24</v>
      </c>
      <c r="E462" t="s">
        <v>28</v>
      </c>
      <c r="F462" t="s">
        <v>51</v>
      </c>
      <c r="G462" t="s">
        <v>39</v>
      </c>
      <c r="H462" t="s">
        <v>40</v>
      </c>
      <c r="I462">
        <v>12</v>
      </c>
      <c r="J462">
        <v>967.19</v>
      </c>
      <c r="K462">
        <v>11606.28</v>
      </c>
      <c r="L462" t="s">
        <v>22</v>
      </c>
      <c r="M462" t="s">
        <v>22</v>
      </c>
      <c r="N462" s="1">
        <v>46203</v>
      </c>
      <c r="O462">
        <v>11606.28</v>
      </c>
    </row>
    <row r="463" spans="1:15" x14ac:dyDescent="0.3">
      <c r="A463" t="s">
        <v>508</v>
      </c>
      <c r="B463" s="1">
        <v>45829</v>
      </c>
      <c r="C463" t="s">
        <v>437</v>
      </c>
      <c r="D463" t="s">
        <v>24</v>
      </c>
      <c r="E463" t="s">
        <v>25</v>
      </c>
      <c r="F463" t="s">
        <v>51</v>
      </c>
      <c r="G463" t="s">
        <v>20</v>
      </c>
      <c r="H463" t="s">
        <v>45</v>
      </c>
      <c r="I463">
        <v>12</v>
      </c>
      <c r="J463">
        <v>919.6</v>
      </c>
      <c r="K463">
        <v>11035.2</v>
      </c>
      <c r="L463" t="s">
        <v>22</v>
      </c>
      <c r="M463" t="s">
        <v>22</v>
      </c>
      <c r="N463" s="1">
        <v>46203</v>
      </c>
      <c r="O463">
        <v>11035.2</v>
      </c>
    </row>
    <row r="464" spans="1:15" x14ac:dyDescent="0.3">
      <c r="A464" t="s">
        <v>509</v>
      </c>
      <c r="B464" s="1">
        <v>45829</v>
      </c>
      <c r="C464" t="s">
        <v>437</v>
      </c>
      <c r="D464" t="s">
        <v>17</v>
      </c>
      <c r="E464" t="s">
        <v>50</v>
      </c>
      <c r="F464" t="s">
        <v>29</v>
      </c>
      <c r="G464" t="s">
        <v>39</v>
      </c>
      <c r="H464" t="s">
        <v>21</v>
      </c>
      <c r="I464">
        <v>12</v>
      </c>
      <c r="J464">
        <v>1596.81</v>
      </c>
      <c r="K464">
        <v>19161.72</v>
      </c>
      <c r="L464" t="s">
        <v>22</v>
      </c>
      <c r="M464" t="s">
        <v>22</v>
      </c>
      <c r="N464" s="1">
        <v>46203</v>
      </c>
      <c r="O464">
        <v>19161.72</v>
      </c>
    </row>
    <row r="465" spans="1:15" x14ac:dyDescent="0.3">
      <c r="A465" t="s">
        <v>510</v>
      </c>
      <c r="B465" s="1">
        <v>45830</v>
      </c>
      <c r="C465" t="s">
        <v>437</v>
      </c>
      <c r="D465" t="s">
        <v>24</v>
      </c>
      <c r="E465" t="s">
        <v>28</v>
      </c>
      <c r="F465" t="s">
        <v>19</v>
      </c>
      <c r="G465" t="s">
        <v>39</v>
      </c>
      <c r="H465" t="s">
        <v>21</v>
      </c>
      <c r="I465">
        <v>8</v>
      </c>
      <c r="J465">
        <v>886.26</v>
      </c>
      <c r="K465">
        <v>7090.08</v>
      </c>
      <c r="L465" t="s">
        <v>30</v>
      </c>
      <c r="M465" t="s">
        <v>80</v>
      </c>
      <c r="N465" s="1">
        <v>46083</v>
      </c>
      <c r="O465">
        <v>7090.08</v>
      </c>
    </row>
    <row r="466" spans="1:15" x14ac:dyDescent="0.3">
      <c r="A466" t="s">
        <v>511</v>
      </c>
      <c r="B466" s="1">
        <v>45830</v>
      </c>
      <c r="C466" t="s">
        <v>437</v>
      </c>
      <c r="D466" t="s">
        <v>24</v>
      </c>
      <c r="E466" t="s">
        <v>25</v>
      </c>
      <c r="F466" t="s">
        <v>29</v>
      </c>
      <c r="G466" t="s">
        <v>20</v>
      </c>
      <c r="H466" t="s">
        <v>34</v>
      </c>
      <c r="I466">
        <v>12</v>
      </c>
      <c r="J466">
        <v>892.35</v>
      </c>
      <c r="K466">
        <v>10708.2</v>
      </c>
      <c r="L466" t="s">
        <v>22</v>
      </c>
      <c r="M466" t="s">
        <v>22</v>
      </c>
      <c r="N466" s="1">
        <v>46203</v>
      </c>
      <c r="O466">
        <v>10708.2</v>
      </c>
    </row>
    <row r="467" spans="1:15" x14ac:dyDescent="0.3">
      <c r="A467" t="s">
        <v>512</v>
      </c>
      <c r="B467" s="1">
        <v>45831</v>
      </c>
      <c r="C467" t="s">
        <v>437</v>
      </c>
      <c r="D467" t="s">
        <v>49</v>
      </c>
      <c r="E467" t="s">
        <v>25</v>
      </c>
      <c r="F467" t="s">
        <v>33</v>
      </c>
      <c r="G467" t="s">
        <v>39</v>
      </c>
      <c r="H467" t="s">
        <v>21</v>
      </c>
      <c r="I467">
        <v>7</v>
      </c>
      <c r="J467">
        <v>452.23</v>
      </c>
      <c r="K467">
        <v>3165.61</v>
      </c>
      <c r="L467" t="s">
        <v>30</v>
      </c>
      <c r="M467" t="s">
        <v>36</v>
      </c>
      <c r="N467" s="1">
        <v>46048</v>
      </c>
      <c r="O467">
        <v>3165.61</v>
      </c>
    </row>
    <row r="468" spans="1:15" x14ac:dyDescent="0.3">
      <c r="A468" t="s">
        <v>513</v>
      </c>
      <c r="B468" s="1">
        <v>45831</v>
      </c>
      <c r="C468" t="s">
        <v>437</v>
      </c>
      <c r="D468" t="s">
        <v>49</v>
      </c>
      <c r="E468" t="s">
        <v>28</v>
      </c>
      <c r="F468" t="s">
        <v>29</v>
      </c>
      <c r="G468" t="s">
        <v>39</v>
      </c>
      <c r="H468" t="s">
        <v>40</v>
      </c>
      <c r="I468">
        <v>5</v>
      </c>
      <c r="J468">
        <v>523.34</v>
      </c>
      <c r="K468">
        <v>2616.6999999999998</v>
      </c>
      <c r="L468" t="s">
        <v>30</v>
      </c>
      <c r="M468" t="s">
        <v>80</v>
      </c>
      <c r="N468" s="1">
        <v>45992</v>
      </c>
      <c r="O468">
        <v>2616.6999999999998</v>
      </c>
    </row>
    <row r="469" spans="1:15" x14ac:dyDescent="0.3">
      <c r="A469" t="s">
        <v>514</v>
      </c>
      <c r="B469" s="1">
        <v>45831</v>
      </c>
      <c r="C469" t="s">
        <v>437</v>
      </c>
      <c r="D469" t="s">
        <v>49</v>
      </c>
      <c r="E469" t="s">
        <v>28</v>
      </c>
      <c r="F469" t="s">
        <v>29</v>
      </c>
      <c r="G469" t="s">
        <v>26</v>
      </c>
      <c r="H469" t="s">
        <v>34</v>
      </c>
      <c r="I469">
        <v>6</v>
      </c>
      <c r="J469">
        <v>530.22</v>
      </c>
      <c r="K469">
        <v>3181.32</v>
      </c>
      <c r="L469" t="s">
        <v>30</v>
      </c>
      <c r="M469" t="s">
        <v>80</v>
      </c>
      <c r="N469" s="1">
        <v>46002</v>
      </c>
      <c r="O469">
        <v>3181.32</v>
      </c>
    </row>
    <row r="470" spans="1:15" x14ac:dyDescent="0.3">
      <c r="A470" t="s">
        <v>515</v>
      </c>
      <c r="B470" s="1">
        <v>45831</v>
      </c>
      <c r="C470" t="s">
        <v>437</v>
      </c>
      <c r="D470" t="s">
        <v>24</v>
      </c>
      <c r="E470" t="s">
        <v>25</v>
      </c>
      <c r="F470" t="s">
        <v>19</v>
      </c>
      <c r="G470" t="s">
        <v>39</v>
      </c>
      <c r="H470" t="s">
        <v>21</v>
      </c>
      <c r="I470">
        <v>12</v>
      </c>
      <c r="J470">
        <v>832.14</v>
      </c>
      <c r="K470">
        <v>9985.68</v>
      </c>
      <c r="L470" t="s">
        <v>22</v>
      </c>
      <c r="M470" t="s">
        <v>22</v>
      </c>
      <c r="N470" s="1">
        <v>46203</v>
      </c>
      <c r="O470">
        <v>9985.68</v>
      </c>
    </row>
    <row r="471" spans="1:15" x14ac:dyDescent="0.3">
      <c r="A471" t="s">
        <v>516</v>
      </c>
      <c r="B471" s="1">
        <v>45831</v>
      </c>
      <c r="C471" t="s">
        <v>437</v>
      </c>
      <c r="D471" t="s">
        <v>24</v>
      </c>
      <c r="E471" t="s">
        <v>28</v>
      </c>
      <c r="F471" t="s">
        <v>29</v>
      </c>
      <c r="G471" t="s">
        <v>39</v>
      </c>
      <c r="H471" t="s">
        <v>21</v>
      </c>
      <c r="I471">
        <v>12</v>
      </c>
      <c r="J471">
        <v>911.31</v>
      </c>
      <c r="K471">
        <v>10935.72</v>
      </c>
      <c r="L471" t="s">
        <v>22</v>
      </c>
      <c r="M471" t="s">
        <v>22</v>
      </c>
      <c r="N471" s="1">
        <v>46203</v>
      </c>
      <c r="O471">
        <v>10935.72</v>
      </c>
    </row>
    <row r="472" spans="1:15" x14ac:dyDescent="0.3">
      <c r="A472" t="s">
        <v>517</v>
      </c>
      <c r="B472" s="1">
        <v>45832</v>
      </c>
      <c r="C472" t="s">
        <v>437</v>
      </c>
      <c r="D472" t="s">
        <v>49</v>
      </c>
      <c r="E472" t="s">
        <v>18</v>
      </c>
      <c r="F472" t="s">
        <v>19</v>
      </c>
      <c r="G472" t="s">
        <v>20</v>
      </c>
      <c r="H472" t="s">
        <v>45</v>
      </c>
      <c r="I472">
        <v>12</v>
      </c>
      <c r="J472">
        <v>548.08000000000004</v>
      </c>
      <c r="K472">
        <v>6576.96</v>
      </c>
      <c r="L472" t="s">
        <v>22</v>
      </c>
      <c r="M472" t="s">
        <v>22</v>
      </c>
      <c r="N472" s="1">
        <v>46203</v>
      </c>
      <c r="O472">
        <v>6576.96</v>
      </c>
    </row>
    <row r="473" spans="1:15" x14ac:dyDescent="0.3">
      <c r="A473" t="s">
        <v>518</v>
      </c>
      <c r="B473" s="1">
        <v>45832</v>
      </c>
      <c r="C473" t="s">
        <v>437</v>
      </c>
      <c r="D473" t="s">
        <v>49</v>
      </c>
      <c r="E473" t="s">
        <v>25</v>
      </c>
      <c r="F473" t="s">
        <v>29</v>
      </c>
      <c r="G473" t="s">
        <v>20</v>
      </c>
      <c r="H473" t="s">
        <v>21</v>
      </c>
      <c r="I473">
        <v>1</v>
      </c>
      <c r="J473">
        <v>485.47</v>
      </c>
      <c r="K473">
        <v>485.47</v>
      </c>
      <c r="L473" t="s">
        <v>30</v>
      </c>
      <c r="M473" t="s">
        <v>43</v>
      </c>
      <c r="N473" s="1">
        <v>45871</v>
      </c>
      <c r="O473">
        <v>485.47</v>
      </c>
    </row>
    <row r="474" spans="1:15" x14ac:dyDescent="0.3">
      <c r="A474" t="s">
        <v>519</v>
      </c>
      <c r="B474" s="1">
        <v>45832</v>
      </c>
      <c r="C474" t="s">
        <v>437</v>
      </c>
      <c r="D474" t="s">
        <v>17</v>
      </c>
      <c r="E474" t="s">
        <v>28</v>
      </c>
      <c r="F474" t="s">
        <v>38</v>
      </c>
      <c r="G474" t="s">
        <v>20</v>
      </c>
      <c r="H474" t="s">
        <v>45</v>
      </c>
      <c r="I474">
        <v>12</v>
      </c>
      <c r="J474">
        <v>1589.26</v>
      </c>
      <c r="K474">
        <v>19071.12</v>
      </c>
      <c r="L474" t="s">
        <v>22</v>
      </c>
      <c r="M474" t="s">
        <v>22</v>
      </c>
      <c r="N474" s="1">
        <v>46203</v>
      </c>
      <c r="O474">
        <v>19071.12</v>
      </c>
    </row>
    <row r="475" spans="1:15" x14ac:dyDescent="0.3">
      <c r="A475" t="s">
        <v>520</v>
      </c>
      <c r="B475" s="1">
        <v>45832</v>
      </c>
      <c r="C475" t="s">
        <v>437</v>
      </c>
      <c r="D475" t="s">
        <v>17</v>
      </c>
      <c r="E475" t="s">
        <v>25</v>
      </c>
      <c r="F475" t="s">
        <v>29</v>
      </c>
      <c r="G475" t="s">
        <v>20</v>
      </c>
      <c r="H475" t="s">
        <v>21</v>
      </c>
      <c r="I475">
        <v>12</v>
      </c>
      <c r="J475">
        <v>1600.52</v>
      </c>
      <c r="K475">
        <v>19206.240000000002</v>
      </c>
      <c r="L475" t="s">
        <v>22</v>
      </c>
      <c r="M475" t="s">
        <v>22</v>
      </c>
      <c r="N475" s="1">
        <v>46203</v>
      </c>
      <c r="O475">
        <v>19206.240000000002</v>
      </c>
    </row>
    <row r="476" spans="1:15" x14ac:dyDescent="0.3">
      <c r="A476" t="s">
        <v>521</v>
      </c>
      <c r="B476" s="1">
        <v>45833</v>
      </c>
      <c r="C476" t="s">
        <v>437</v>
      </c>
      <c r="D476" t="s">
        <v>17</v>
      </c>
      <c r="E476" t="s">
        <v>18</v>
      </c>
      <c r="F476" t="s">
        <v>33</v>
      </c>
      <c r="G476" t="s">
        <v>39</v>
      </c>
      <c r="H476" t="s">
        <v>45</v>
      </c>
      <c r="I476">
        <v>4</v>
      </c>
      <c r="J476">
        <v>1541.02</v>
      </c>
      <c r="K476">
        <v>6164.08</v>
      </c>
      <c r="L476" t="s">
        <v>30</v>
      </c>
      <c r="M476" t="s">
        <v>36</v>
      </c>
      <c r="N476" s="1">
        <v>45951</v>
      </c>
      <c r="O476">
        <v>6164.08</v>
      </c>
    </row>
    <row r="477" spans="1:15" x14ac:dyDescent="0.3">
      <c r="A477" t="s">
        <v>522</v>
      </c>
      <c r="B477" s="1">
        <v>45834</v>
      </c>
      <c r="C477" t="s">
        <v>437</v>
      </c>
      <c r="D477" t="s">
        <v>17</v>
      </c>
      <c r="E477" t="s">
        <v>28</v>
      </c>
      <c r="F477" t="s">
        <v>29</v>
      </c>
      <c r="G477" t="s">
        <v>39</v>
      </c>
      <c r="H477" t="s">
        <v>21</v>
      </c>
      <c r="I477">
        <v>12</v>
      </c>
      <c r="J477">
        <v>1360.36</v>
      </c>
      <c r="K477">
        <v>16324.32</v>
      </c>
      <c r="L477" t="s">
        <v>22</v>
      </c>
      <c r="M477" t="s">
        <v>22</v>
      </c>
      <c r="N477" s="1">
        <v>46203</v>
      </c>
      <c r="O477">
        <v>16324.32</v>
      </c>
    </row>
    <row r="478" spans="1:15" x14ac:dyDescent="0.3">
      <c r="A478" t="s">
        <v>523</v>
      </c>
      <c r="B478" s="1">
        <v>45835</v>
      </c>
      <c r="C478" t="s">
        <v>437</v>
      </c>
      <c r="D478" t="s">
        <v>17</v>
      </c>
      <c r="E478" t="s">
        <v>18</v>
      </c>
      <c r="F478" t="s">
        <v>33</v>
      </c>
      <c r="G478" t="s">
        <v>20</v>
      </c>
      <c r="H478" t="s">
        <v>45</v>
      </c>
      <c r="I478">
        <v>12</v>
      </c>
      <c r="J478">
        <v>1647.21</v>
      </c>
      <c r="K478">
        <v>19766.52</v>
      </c>
      <c r="L478" t="s">
        <v>22</v>
      </c>
      <c r="M478" t="s">
        <v>22</v>
      </c>
      <c r="N478" s="1">
        <v>46203</v>
      </c>
      <c r="O478">
        <v>19766.52</v>
      </c>
    </row>
    <row r="479" spans="1:15" x14ac:dyDescent="0.3">
      <c r="A479" t="s">
        <v>524</v>
      </c>
      <c r="B479" s="1">
        <v>45836</v>
      </c>
      <c r="C479" t="s">
        <v>437</v>
      </c>
      <c r="D479" t="s">
        <v>49</v>
      </c>
      <c r="E479" t="s">
        <v>18</v>
      </c>
      <c r="F479" t="s">
        <v>33</v>
      </c>
      <c r="G479" t="s">
        <v>39</v>
      </c>
      <c r="H479" t="s">
        <v>40</v>
      </c>
      <c r="I479">
        <v>12</v>
      </c>
      <c r="J479">
        <v>529.41</v>
      </c>
      <c r="K479">
        <v>6352.92</v>
      </c>
      <c r="L479" t="s">
        <v>22</v>
      </c>
      <c r="M479" t="s">
        <v>22</v>
      </c>
      <c r="N479" s="1">
        <v>46203</v>
      </c>
      <c r="O479">
        <v>6352.92</v>
      </c>
    </row>
    <row r="480" spans="1:15" x14ac:dyDescent="0.3">
      <c r="A480" t="s">
        <v>525</v>
      </c>
      <c r="B480" s="1">
        <v>45836</v>
      </c>
      <c r="C480" t="s">
        <v>437</v>
      </c>
      <c r="D480" t="s">
        <v>17</v>
      </c>
      <c r="E480" t="s">
        <v>25</v>
      </c>
      <c r="F480" t="s">
        <v>19</v>
      </c>
      <c r="G480" t="s">
        <v>39</v>
      </c>
      <c r="H480" t="s">
        <v>21</v>
      </c>
      <c r="I480">
        <v>12</v>
      </c>
      <c r="J480">
        <v>1484.68</v>
      </c>
      <c r="K480">
        <v>17816.16</v>
      </c>
      <c r="L480" t="s">
        <v>22</v>
      </c>
      <c r="M480" t="s">
        <v>22</v>
      </c>
      <c r="N480" s="1">
        <v>46203</v>
      </c>
      <c r="O480">
        <v>17816.16</v>
      </c>
    </row>
    <row r="481" spans="1:15" x14ac:dyDescent="0.3">
      <c r="A481" t="s">
        <v>526</v>
      </c>
      <c r="B481" s="1">
        <v>45836</v>
      </c>
      <c r="C481" t="s">
        <v>437</v>
      </c>
      <c r="D481" t="s">
        <v>24</v>
      </c>
      <c r="E481" t="s">
        <v>25</v>
      </c>
      <c r="F481" t="s">
        <v>29</v>
      </c>
      <c r="G481" t="s">
        <v>39</v>
      </c>
      <c r="H481" t="s">
        <v>45</v>
      </c>
      <c r="I481">
        <v>12</v>
      </c>
      <c r="J481">
        <v>955.84</v>
      </c>
      <c r="K481">
        <v>11470.08</v>
      </c>
      <c r="L481" t="s">
        <v>22</v>
      </c>
      <c r="M481" t="s">
        <v>22</v>
      </c>
      <c r="N481" s="1">
        <v>46203</v>
      </c>
      <c r="O481">
        <v>11470.08</v>
      </c>
    </row>
    <row r="482" spans="1:15" x14ac:dyDescent="0.3">
      <c r="A482" t="s">
        <v>527</v>
      </c>
      <c r="B482" s="1">
        <v>45837</v>
      </c>
      <c r="C482" t="s">
        <v>437</v>
      </c>
      <c r="D482" t="s">
        <v>24</v>
      </c>
      <c r="E482" t="s">
        <v>50</v>
      </c>
      <c r="F482" t="s">
        <v>33</v>
      </c>
      <c r="G482" t="s">
        <v>39</v>
      </c>
      <c r="H482" t="s">
        <v>21</v>
      </c>
      <c r="I482">
        <v>12</v>
      </c>
      <c r="J482">
        <v>934.17</v>
      </c>
      <c r="K482">
        <v>11210.04</v>
      </c>
      <c r="L482" t="s">
        <v>22</v>
      </c>
      <c r="M482" t="s">
        <v>22</v>
      </c>
      <c r="N482" s="1">
        <v>46203</v>
      </c>
      <c r="O482">
        <v>11210.04</v>
      </c>
    </row>
    <row r="483" spans="1:15" x14ac:dyDescent="0.3">
      <c r="A483" t="s">
        <v>528</v>
      </c>
      <c r="B483" s="1">
        <v>45837</v>
      </c>
      <c r="C483" t="s">
        <v>437</v>
      </c>
      <c r="D483" t="s">
        <v>49</v>
      </c>
      <c r="E483" t="s">
        <v>28</v>
      </c>
      <c r="F483" t="s">
        <v>29</v>
      </c>
      <c r="G483" t="s">
        <v>39</v>
      </c>
      <c r="H483" t="s">
        <v>21</v>
      </c>
      <c r="I483">
        <v>2</v>
      </c>
      <c r="J483">
        <v>464.52</v>
      </c>
      <c r="K483">
        <v>929.04</v>
      </c>
      <c r="L483" t="s">
        <v>30</v>
      </c>
      <c r="M483" t="s">
        <v>31</v>
      </c>
      <c r="N483" s="1">
        <v>45905</v>
      </c>
      <c r="O483">
        <v>929.04</v>
      </c>
    </row>
    <row r="484" spans="1:15" x14ac:dyDescent="0.3">
      <c r="A484" t="s">
        <v>529</v>
      </c>
      <c r="B484" s="1">
        <v>45837</v>
      </c>
      <c r="C484" t="s">
        <v>437</v>
      </c>
      <c r="D484" t="s">
        <v>24</v>
      </c>
      <c r="E484" t="s">
        <v>25</v>
      </c>
      <c r="F484" t="s">
        <v>29</v>
      </c>
      <c r="G484" t="s">
        <v>39</v>
      </c>
      <c r="H484" t="s">
        <v>40</v>
      </c>
      <c r="I484">
        <v>1</v>
      </c>
      <c r="J484">
        <v>964.82</v>
      </c>
      <c r="K484">
        <v>964.82</v>
      </c>
      <c r="L484" t="s">
        <v>30</v>
      </c>
      <c r="M484" t="s">
        <v>43</v>
      </c>
      <c r="N484" s="1">
        <v>45873</v>
      </c>
      <c r="O484">
        <v>964.82</v>
      </c>
    </row>
    <row r="485" spans="1:15" x14ac:dyDescent="0.3">
      <c r="A485" t="s">
        <v>530</v>
      </c>
      <c r="B485" s="1">
        <v>45837</v>
      </c>
      <c r="C485" t="s">
        <v>437</v>
      </c>
      <c r="D485" t="s">
        <v>49</v>
      </c>
      <c r="E485" t="s">
        <v>50</v>
      </c>
      <c r="F485" t="s">
        <v>29</v>
      </c>
      <c r="G485" t="s">
        <v>39</v>
      </c>
      <c r="H485" t="s">
        <v>45</v>
      </c>
      <c r="I485">
        <v>1</v>
      </c>
      <c r="J485">
        <v>464.66</v>
      </c>
      <c r="K485">
        <v>464.66</v>
      </c>
      <c r="L485" t="s">
        <v>30</v>
      </c>
      <c r="M485" t="s">
        <v>41</v>
      </c>
      <c r="N485" s="1">
        <v>45880</v>
      </c>
      <c r="O485">
        <v>464.66</v>
      </c>
    </row>
    <row r="486" spans="1:15" x14ac:dyDescent="0.3">
      <c r="A486" t="s">
        <v>531</v>
      </c>
      <c r="B486" s="1">
        <v>45838</v>
      </c>
      <c r="C486" t="s">
        <v>437</v>
      </c>
      <c r="D486" t="s">
        <v>49</v>
      </c>
      <c r="E486" t="s">
        <v>25</v>
      </c>
      <c r="F486" t="s">
        <v>38</v>
      </c>
      <c r="G486" t="s">
        <v>39</v>
      </c>
      <c r="H486" t="s">
        <v>40</v>
      </c>
      <c r="I486">
        <v>12</v>
      </c>
      <c r="J486">
        <v>487.27</v>
      </c>
      <c r="K486">
        <v>5847.24</v>
      </c>
      <c r="L486" t="s">
        <v>22</v>
      </c>
      <c r="M486" t="s">
        <v>22</v>
      </c>
      <c r="N486" s="1">
        <v>46203</v>
      </c>
      <c r="O486">
        <v>5847.24</v>
      </c>
    </row>
    <row r="487" spans="1:15" x14ac:dyDescent="0.3">
      <c r="A487" t="s">
        <v>532</v>
      </c>
      <c r="B487" s="1">
        <v>45838</v>
      </c>
      <c r="C487" t="s">
        <v>437</v>
      </c>
      <c r="D487" t="s">
        <v>49</v>
      </c>
      <c r="E487" t="s">
        <v>25</v>
      </c>
      <c r="F487" t="s">
        <v>29</v>
      </c>
      <c r="G487" t="s">
        <v>39</v>
      </c>
      <c r="H487" t="s">
        <v>21</v>
      </c>
      <c r="I487">
        <v>12</v>
      </c>
      <c r="J487">
        <v>455.42</v>
      </c>
      <c r="K487">
        <v>5465.04</v>
      </c>
      <c r="L487" t="s">
        <v>22</v>
      </c>
      <c r="M487" t="s">
        <v>22</v>
      </c>
      <c r="N487" s="1">
        <v>46203</v>
      </c>
      <c r="O487">
        <v>5465.04</v>
      </c>
    </row>
    <row r="488" spans="1:15" x14ac:dyDescent="0.3">
      <c r="A488" t="s">
        <v>533</v>
      </c>
      <c r="B488" s="1">
        <v>45838</v>
      </c>
      <c r="C488" t="s">
        <v>437</v>
      </c>
      <c r="D488" t="s">
        <v>24</v>
      </c>
      <c r="E488" t="s">
        <v>25</v>
      </c>
      <c r="F488" t="s">
        <v>29</v>
      </c>
      <c r="G488" t="s">
        <v>39</v>
      </c>
      <c r="H488" t="s">
        <v>45</v>
      </c>
      <c r="I488">
        <v>2</v>
      </c>
      <c r="J488">
        <v>884.72</v>
      </c>
      <c r="K488">
        <v>1769.44</v>
      </c>
      <c r="L488" t="s">
        <v>30</v>
      </c>
      <c r="M488" t="s">
        <v>31</v>
      </c>
      <c r="N488" s="1">
        <v>45894</v>
      </c>
      <c r="O488">
        <v>1769.44</v>
      </c>
    </row>
    <row r="489" spans="1:15" x14ac:dyDescent="0.3">
      <c r="A489" t="s">
        <v>534</v>
      </c>
      <c r="B489" s="1">
        <v>45839</v>
      </c>
      <c r="C489" t="s">
        <v>535</v>
      </c>
      <c r="D489" t="s">
        <v>49</v>
      </c>
      <c r="E489" t="s">
        <v>18</v>
      </c>
      <c r="F489" t="s">
        <v>33</v>
      </c>
      <c r="G489" t="s">
        <v>39</v>
      </c>
      <c r="H489" t="s">
        <v>34</v>
      </c>
      <c r="I489">
        <v>12</v>
      </c>
      <c r="J489">
        <v>466.4</v>
      </c>
      <c r="K489">
        <v>5596.8</v>
      </c>
      <c r="L489" t="s">
        <v>22</v>
      </c>
      <c r="M489" t="s">
        <v>22</v>
      </c>
      <c r="N489" s="1">
        <v>46203</v>
      </c>
      <c r="O489">
        <v>5596.8</v>
      </c>
    </row>
    <row r="490" spans="1:15" x14ac:dyDescent="0.3">
      <c r="A490" t="s">
        <v>536</v>
      </c>
      <c r="B490" s="1">
        <v>45839</v>
      </c>
      <c r="C490" t="s">
        <v>535</v>
      </c>
      <c r="D490" t="s">
        <v>49</v>
      </c>
      <c r="E490" t="s">
        <v>25</v>
      </c>
      <c r="F490" t="s">
        <v>29</v>
      </c>
      <c r="G490" t="s">
        <v>39</v>
      </c>
      <c r="H490" t="s">
        <v>21</v>
      </c>
      <c r="I490">
        <v>3</v>
      </c>
      <c r="J490">
        <v>515.17999999999995</v>
      </c>
      <c r="K490">
        <v>1545.54</v>
      </c>
      <c r="L490" t="s">
        <v>30</v>
      </c>
      <c r="M490" t="s">
        <v>43</v>
      </c>
      <c r="N490" s="1">
        <v>45933</v>
      </c>
      <c r="O490">
        <v>1545.54</v>
      </c>
    </row>
    <row r="491" spans="1:15" x14ac:dyDescent="0.3">
      <c r="A491" t="s">
        <v>537</v>
      </c>
      <c r="B491" s="1">
        <v>45840</v>
      </c>
      <c r="C491" t="s">
        <v>535</v>
      </c>
      <c r="D491" t="s">
        <v>24</v>
      </c>
      <c r="E491" t="s">
        <v>28</v>
      </c>
      <c r="F491" t="s">
        <v>29</v>
      </c>
      <c r="G491" t="s">
        <v>39</v>
      </c>
      <c r="H491" t="s">
        <v>45</v>
      </c>
      <c r="I491">
        <v>12</v>
      </c>
      <c r="J491">
        <v>875.63</v>
      </c>
      <c r="K491">
        <v>10507.56</v>
      </c>
      <c r="L491" t="s">
        <v>22</v>
      </c>
      <c r="M491" t="s">
        <v>22</v>
      </c>
      <c r="N491" s="1">
        <v>46203</v>
      </c>
      <c r="O491">
        <v>10507.56</v>
      </c>
    </row>
    <row r="492" spans="1:15" x14ac:dyDescent="0.3">
      <c r="A492" t="s">
        <v>538</v>
      </c>
      <c r="B492" s="1">
        <v>45840</v>
      </c>
      <c r="C492" t="s">
        <v>535</v>
      </c>
      <c r="D492" t="s">
        <v>17</v>
      </c>
      <c r="E492" t="s">
        <v>25</v>
      </c>
      <c r="F492" t="s">
        <v>29</v>
      </c>
      <c r="G492" t="s">
        <v>39</v>
      </c>
      <c r="H492" t="s">
        <v>21</v>
      </c>
      <c r="I492">
        <v>12</v>
      </c>
      <c r="J492">
        <v>1482.11</v>
      </c>
      <c r="K492">
        <v>17785.32</v>
      </c>
      <c r="L492" t="s">
        <v>22</v>
      </c>
      <c r="M492" t="s">
        <v>22</v>
      </c>
      <c r="N492" s="1">
        <v>46203</v>
      </c>
      <c r="O492">
        <v>17785.32</v>
      </c>
    </row>
    <row r="493" spans="1:15" x14ac:dyDescent="0.3">
      <c r="A493" t="s">
        <v>539</v>
      </c>
      <c r="B493" s="1">
        <v>45840</v>
      </c>
      <c r="C493" t="s">
        <v>535</v>
      </c>
      <c r="D493" t="s">
        <v>17</v>
      </c>
      <c r="E493" t="s">
        <v>28</v>
      </c>
      <c r="F493" t="s">
        <v>29</v>
      </c>
      <c r="G493" t="s">
        <v>39</v>
      </c>
      <c r="H493" t="s">
        <v>34</v>
      </c>
      <c r="I493">
        <v>12</v>
      </c>
      <c r="J493">
        <v>1488.47</v>
      </c>
      <c r="K493">
        <v>17861.64</v>
      </c>
      <c r="L493" t="s">
        <v>22</v>
      </c>
      <c r="M493" t="s">
        <v>22</v>
      </c>
      <c r="N493" s="1">
        <v>46203</v>
      </c>
      <c r="O493">
        <v>17861.64</v>
      </c>
    </row>
    <row r="494" spans="1:15" x14ac:dyDescent="0.3">
      <c r="A494" t="s">
        <v>540</v>
      </c>
      <c r="B494" s="1">
        <v>45840</v>
      </c>
      <c r="C494" t="s">
        <v>535</v>
      </c>
      <c r="D494" t="s">
        <v>49</v>
      </c>
      <c r="E494" t="s">
        <v>18</v>
      </c>
      <c r="F494" t="s">
        <v>33</v>
      </c>
      <c r="G494" t="s">
        <v>26</v>
      </c>
      <c r="H494" t="s">
        <v>21</v>
      </c>
      <c r="I494">
        <v>12</v>
      </c>
      <c r="J494">
        <v>494.8</v>
      </c>
      <c r="K494">
        <v>5937.6</v>
      </c>
      <c r="L494" t="s">
        <v>30</v>
      </c>
      <c r="M494" t="s">
        <v>31</v>
      </c>
      <c r="N494" s="1">
        <v>46196</v>
      </c>
      <c r="O494">
        <v>5937.6</v>
      </c>
    </row>
    <row r="495" spans="1:15" x14ac:dyDescent="0.3">
      <c r="A495" t="s">
        <v>541</v>
      </c>
      <c r="B495" s="1">
        <v>45840</v>
      </c>
      <c r="C495" t="s">
        <v>535</v>
      </c>
      <c r="D495" t="s">
        <v>24</v>
      </c>
      <c r="E495" t="s">
        <v>28</v>
      </c>
      <c r="F495" t="s">
        <v>19</v>
      </c>
      <c r="G495" t="s">
        <v>20</v>
      </c>
      <c r="H495" t="s">
        <v>40</v>
      </c>
      <c r="I495">
        <v>12</v>
      </c>
      <c r="J495">
        <v>967.57</v>
      </c>
      <c r="K495">
        <v>11610.84</v>
      </c>
      <c r="L495" t="s">
        <v>22</v>
      </c>
      <c r="M495" t="s">
        <v>22</v>
      </c>
      <c r="N495" s="1">
        <v>46203</v>
      </c>
      <c r="O495">
        <v>11610.84</v>
      </c>
    </row>
    <row r="496" spans="1:15" x14ac:dyDescent="0.3">
      <c r="A496" t="s">
        <v>542</v>
      </c>
      <c r="B496" s="1">
        <v>45841</v>
      </c>
      <c r="C496" t="s">
        <v>535</v>
      </c>
      <c r="D496" t="s">
        <v>17</v>
      </c>
      <c r="E496" t="s">
        <v>50</v>
      </c>
      <c r="F496" t="s">
        <v>33</v>
      </c>
      <c r="G496" t="s">
        <v>39</v>
      </c>
      <c r="H496" t="s">
        <v>21</v>
      </c>
      <c r="I496">
        <v>12</v>
      </c>
      <c r="J496">
        <v>1529.72</v>
      </c>
      <c r="K496">
        <v>18356.64</v>
      </c>
      <c r="L496" t="s">
        <v>22</v>
      </c>
      <c r="M496" t="s">
        <v>22</v>
      </c>
      <c r="N496" s="1">
        <v>46203</v>
      </c>
      <c r="O496">
        <v>18356.64</v>
      </c>
    </row>
    <row r="497" spans="1:15" x14ac:dyDescent="0.3">
      <c r="A497" t="s">
        <v>543</v>
      </c>
      <c r="B497" s="1">
        <v>45842</v>
      </c>
      <c r="C497" t="s">
        <v>535</v>
      </c>
      <c r="D497" t="s">
        <v>24</v>
      </c>
      <c r="E497" t="s">
        <v>28</v>
      </c>
      <c r="F497" t="s">
        <v>19</v>
      </c>
      <c r="G497" t="s">
        <v>20</v>
      </c>
      <c r="H497" t="s">
        <v>21</v>
      </c>
      <c r="I497">
        <v>12</v>
      </c>
      <c r="J497">
        <v>815.97</v>
      </c>
      <c r="K497">
        <v>9791.64</v>
      </c>
      <c r="L497" t="s">
        <v>22</v>
      </c>
      <c r="M497" t="s">
        <v>22</v>
      </c>
      <c r="N497" s="1">
        <v>46203</v>
      </c>
      <c r="O497">
        <v>9791.64</v>
      </c>
    </row>
    <row r="498" spans="1:15" x14ac:dyDescent="0.3">
      <c r="A498" t="s">
        <v>544</v>
      </c>
      <c r="B498" s="1">
        <v>45842</v>
      </c>
      <c r="C498" t="s">
        <v>535</v>
      </c>
      <c r="D498" t="s">
        <v>49</v>
      </c>
      <c r="E498" t="s">
        <v>25</v>
      </c>
      <c r="F498" t="s">
        <v>29</v>
      </c>
      <c r="G498" t="s">
        <v>39</v>
      </c>
      <c r="H498" t="s">
        <v>34</v>
      </c>
      <c r="I498">
        <v>12</v>
      </c>
      <c r="J498">
        <v>469.51</v>
      </c>
      <c r="K498">
        <v>5634.12</v>
      </c>
      <c r="L498" t="s">
        <v>30</v>
      </c>
      <c r="M498" t="s">
        <v>43</v>
      </c>
      <c r="N498" s="1">
        <v>46193</v>
      </c>
      <c r="O498">
        <v>5634.12</v>
      </c>
    </row>
    <row r="499" spans="1:15" x14ac:dyDescent="0.3">
      <c r="A499" t="s">
        <v>545</v>
      </c>
      <c r="B499" s="1">
        <v>45842</v>
      </c>
      <c r="C499" t="s">
        <v>535</v>
      </c>
      <c r="D499" t="s">
        <v>24</v>
      </c>
      <c r="E499" t="s">
        <v>50</v>
      </c>
      <c r="F499" t="s">
        <v>19</v>
      </c>
      <c r="G499" t="s">
        <v>39</v>
      </c>
      <c r="H499" t="s">
        <v>21</v>
      </c>
      <c r="I499">
        <v>12</v>
      </c>
      <c r="J499">
        <v>861.76</v>
      </c>
      <c r="K499">
        <v>10341.120000000001</v>
      </c>
      <c r="L499" t="s">
        <v>22</v>
      </c>
      <c r="M499" t="s">
        <v>22</v>
      </c>
      <c r="N499" s="1">
        <v>46203</v>
      </c>
      <c r="O499">
        <v>10341.120000000001</v>
      </c>
    </row>
    <row r="500" spans="1:15" x14ac:dyDescent="0.3">
      <c r="A500" t="s">
        <v>546</v>
      </c>
      <c r="B500" s="1">
        <v>45842</v>
      </c>
      <c r="C500" t="s">
        <v>535</v>
      </c>
      <c r="D500" t="s">
        <v>24</v>
      </c>
      <c r="E500" t="s">
        <v>25</v>
      </c>
      <c r="F500" t="s">
        <v>19</v>
      </c>
      <c r="G500" t="s">
        <v>20</v>
      </c>
      <c r="H500" t="s">
        <v>45</v>
      </c>
      <c r="I500">
        <v>12</v>
      </c>
      <c r="J500">
        <v>905.26</v>
      </c>
      <c r="K500">
        <v>10863.12</v>
      </c>
      <c r="L500" t="s">
        <v>22</v>
      </c>
      <c r="M500" t="s">
        <v>22</v>
      </c>
      <c r="N500" s="1">
        <v>46203</v>
      </c>
      <c r="O500">
        <v>10863.12</v>
      </c>
    </row>
    <row r="501" spans="1:15" x14ac:dyDescent="0.3">
      <c r="A501" t="s">
        <v>547</v>
      </c>
      <c r="B501" s="1">
        <v>45842</v>
      </c>
      <c r="C501" t="s">
        <v>535</v>
      </c>
      <c r="D501" t="s">
        <v>49</v>
      </c>
      <c r="E501" t="s">
        <v>18</v>
      </c>
      <c r="F501" t="s">
        <v>29</v>
      </c>
      <c r="G501" t="s">
        <v>39</v>
      </c>
      <c r="H501" t="s">
        <v>21</v>
      </c>
      <c r="I501">
        <v>12</v>
      </c>
      <c r="J501">
        <v>511.69</v>
      </c>
      <c r="K501">
        <v>6140.28</v>
      </c>
      <c r="L501" t="s">
        <v>22</v>
      </c>
      <c r="M501" t="s">
        <v>22</v>
      </c>
      <c r="N501" s="1">
        <v>46203</v>
      </c>
      <c r="O501">
        <v>6140.28</v>
      </c>
    </row>
    <row r="502" spans="1:15" x14ac:dyDescent="0.3">
      <c r="A502" t="s">
        <v>548</v>
      </c>
      <c r="B502" s="1">
        <v>45842</v>
      </c>
      <c r="C502" t="s">
        <v>535</v>
      </c>
      <c r="D502" t="s">
        <v>24</v>
      </c>
      <c r="E502" t="s">
        <v>28</v>
      </c>
      <c r="F502" t="s">
        <v>33</v>
      </c>
      <c r="G502" t="s">
        <v>20</v>
      </c>
      <c r="H502" t="s">
        <v>40</v>
      </c>
      <c r="I502">
        <v>12</v>
      </c>
      <c r="J502">
        <v>833.06</v>
      </c>
      <c r="K502">
        <v>9996.7199999999993</v>
      </c>
      <c r="L502" t="s">
        <v>22</v>
      </c>
      <c r="M502" t="s">
        <v>22</v>
      </c>
      <c r="N502" s="1">
        <v>46203</v>
      </c>
      <c r="O502">
        <v>9996.7199999999993</v>
      </c>
    </row>
    <row r="503" spans="1:15" x14ac:dyDescent="0.3">
      <c r="A503" t="s">
        <v>549</v>
      </c>
      <c r="B503" s="1">
        <v>45843</v>
      </c>
      <c r="C503" t="s">
        <v>535</v>
      </c>
      <c r="D503" t="s">
        <v>24</v>
      </c>
      <c r="E503" t="s">
        <v>18</v>
      </c>
      <c r="F503" t="s">
        <v>29</v>
      </c>
      <c r="G503" t="s">
        <v>39</v>
      </c>
      <c r="H503" t="s">
        <v>40</v>
      </c>
      <c r="I503">
        <v>12</v>
      </c>
      <c r="J503">
        <v>815.8</v>
      </c>
      <c r="K503">
        <v>9789.6</v>
      </c>
      <c r="L503" t="s">
        <v>22</v>
      </c>
      <c r="M503" t="s">
        <v>22</v>
      </c>
      <c r="N503" s="1">
        <v>46203</v>
      </c>
      <c r="O503">
        <v>9789.6</v>
      </c>
    </row>
    <row r="504" spans="1:15" x14ac:dyDescent="0.3">
      <c r="A504" t="s">
        <v>550</v>
      </c>
      <c r="B504" s="1">
        <v>45843</v>
      </c>
      <c r="C504" t="s">
        <v>535</v>
      </c>
      <c r="D504" t="s">
        <v>17</v>
      </c>
      <c r="E504" t="s">
        <v>18</v>
      </c>
      <c r="F504" t="s">
        <v>19</v>
      </c>
      <c r="G504" t="s">
        <v>39</v>
      </c>
      <c r="H504" t="s">
        <v>21</v>
      </c>
      <c r="I504">
        <v>12</v>
      </c>
      <c r="J504">
        <v>1521.49</v>
      </c>
      <c r="K504">
        <v>18257.88</v>
      </c>
      <c r="L504" t="s">
        <v>22</v>
      </c>
      <c r="M504" t="s">
        <v>22</v>
      </c>
      <c r="N504" s="1">
        <v>46203</v>
      </c>
      <c r="O504">
        <v>18257.88</v>
      </c>
    </row>
    <row r="505" spans="1:15" x14ac:dyDescent="0.3">
      <c r="A505" t="s">
        <v>551</v>
      </c>
      <c r="B505" s="1">
        <v>45843</v>
      </c>
      <c r="C505" t="s">
        <v>535</v>
      </c>
      <c r="D505" t="s">
        <v>24</v>
      </c>
      <c r="E505" t="s">
        <v>25</v>
      </c>
      <c r="F505" t="s">
        <v>33</v>
      </c>
      <c r="G505" t="s">
        <v>39</v>
      </c>
      <c r="H505" t="s">
        <v>21</v>
      </c>
      <c r="I505">
        <v>12</v>
      </c>
      <c r="J505">
        <v>951.72</v>
      </c>
      <c r="K505">
        <v>11420.64</v>
      </c>
      <c r="L505" t="s">
        <v>22</v>
      </c>
      <c r="M505" t="s">
        <v>22</v>
      </c>
      <c r="N505" s="1">
        <v>46203</v>
      </c>
      <c r="O505">
        <v>11420.64</v>
      </c>
    </row>
    <row r="506" spans="1:15" x14ac:dyDescent="0.3">
      <c r="A506" t="s">
        <v>552</v>
      </c>
      <c r="B506" s="1">
        <v>45845</v>
      </c>
      <c r="C506" t="s">
        <v>535</v>
      </c>
      <c r="D506" t="s">
        <v>24</v>
      </c>
      <c r="E506" t="s">
        <v>28</v>
      </c>
      <c r="F506" t="s">
        <v>38</v>
      </c>
      <c r="G506" t="s">
        <v>20</v>
      </c>
      <c r="H506" t="s">
        <v>21</v>
      </c>
      <c r="I506">
        <v>3</v>
      </c>
      <c r="J506">
        <v>914.53</v>
      </c>
      <c r="K506">
        <v>2743.59</v>
      </c>
      <c r="L506" t="s">
        <v>30</v>
      </c>
      <c r="M506" t="s">
        <v>80</v>
      </c>
      <c r="N506" s="1">
        <v>45946</v>
      </c>
      <c r="O506">
        <v>2743.59</v>
      </c>
    </row>
    <row r="507" spans="1:15" x14ac:dyDescent="0.3">
      <c r="A507" t="s">
        <v>553</v>
      </c>
      <c r="B507" s="1">
        <v>45845</v>
      </c>
      <c r="C507" t="s">
        <v>535</v>
      </c>
      <c r="D507" t="s">
        <v>24</v>
      </c>
      <c r="E507" t="s">
        <v>50</v>
      </c>
      <c r="F507" t="s">
        <v>19</v>
      </c>
      <c r="G507" t="s">
        <v>20</v>
      </c>
      <c r="H507" t="s">
        <v>21</v>
      </c>
      <c r="I507">
        <v>12</v>
      </c>
      <c r="J507">
        <v>832.34</v>
      </c>
      <c r="K507">
        <v>9988.08</v>
      </c>
      <c r="L507" t="s">
        <v>22</v>
      </c>
      <c r="M507" t="s">
        <v>22</v>
      </c>
      <c r="N507" s="1">
        <v>46203</v>
      </c>
      <c r="O507">
        <v>9988.08</v>
      </c>
    </row>
    <row r="508" spans="1:15" x14ac:dyDescent="0.3">
      <c r="A508" t="s">
        <v>554</v>
      </c>
      <c r="B508" s="1">
        <v>45845</v>
      </c>
      <c r="C508" t="s">
        <v>535</v>
      </c>
      <c r="D508" t="s">
        <v>24</v>
      </c>
      <c r="E508" t="s">
        <v>50</v>
      </c>
      <c r="F508" t="s">
        <v>29</v>
      </c>
      <c r="G508" t="s">
        <v>39</v>
      </c>
      <c r="H508" t="s">
        <v>40</v>
      </c>
      <c r="I508">
        <v>12</v>
      </c>
      <c r="J508">
        <v>911.12</v>
      </c>
      <c r="K508">
        <v>10933.44</v>
      </c>
      <c r="L508" t="s">
        <v>22</v>
      </c>
      <c r="M508" t="s">
        <v>22</v>
      </c>
      <c r="N508" s="1">
        <v>46203</v>
      </c>
      <c r="O508">
        <v>10933.44</v>
      </c>
    </row>
    <row r="509" spans="1:15" x14ac:dyDescent="0.3">
      <c r="A509" t="s">
        <v>555</v>
      </c>
      <c r="B509" s="1">
        <v>45845</v>
      </c>
      <c r="C509" t="s">
        <v>535</v>
      </c>
      <c r="D509" t="s">
        <v>49</v>
      </c>
      <c r="E509" t="s">
        <v>25</v>
      </c>
      <c r="F509" t="s">
        <v>33</v>
      </c>
      <c r="G509" t="s">
        <v>39</v>
      </c>
      <c r="H509" t="s">
        <v>40</v>
      </c>
      <c r="I509">
        <v>12</v>
      </c>
      <c r="J509">
        <v>466.67</v>
      </c>
      <c r="K509">
        <v>5600.04</v>
      </c>
      <c r="L509" t="s">
        <v>22</v>
      </c>
      <c r="M509" t="s">
        <v>22</v>
      </c>
      <c r="N509" s="1">
        <v>46203</v>
      </c>
      <c r="O509">
        <v>5600.04</v>
      </c>
    </row>
    <row r="510" spans="1:15" x14ac:dyDescent="0.3">
      <c r="A510" t="s">
        <v>556</v>
      </c>
      <c r="B510" s="1">
        <v>45846</v>
      </c>
      <c r="C510" t="s">
        <v>535</v>
      </c>
      <c r="D510" t="s">
        <v>17</v>
      </c>
      <c r="E510" t="s">
        <v>25</v>
      </c>
      <c r="F510" t="s">
        <v>51</v>
      </c>
      <c r="G510" t="s">
        <v>39</v>
      </c>
      <c r="H510" t="s">
        <v>21</v>
      </c>
      <c r="I510">
        <v>12</v>
      </c>
      <c r="J510">
        <v>1428.9</v>
      </c>
      <c r="K510">
        <v>17146.8</v>
      </c>
      <c r="L510" t="s">
        <v>22</v>
      </c>
      <c r="M510" t="s">
        <v>22</v>
      </c>
      <c r="N510" s="1">
        <v>46203</v>
      </c>
      <c r="O510">
        <v>17146.8</v>
      </c>
    </row>
    <row r="511" spans="1:15" x14ac:dyDescent="0.3">
      <c r="A511" t="s">
        <v>557</v>
      </c>
      <c r="B511" s="1">
        <v>45846</v>
      </c>
      <c r="C511" t="s">
        <v>535</v>
      </c>
      <c r="D511" t="s">
        <v>24</v>
      </c>
      <c r="E511" t="s">
        <v>28</v>
      </c>
      <c r="F511" t="s">
        <v>29</v>
      </c>
      <c r="G511" t="s">
        <v>26</v>
      </c>
      <c r="H511" t="s">
        <v>34</v>
      </c>
      <c r="I511">
        <v>12</v>
      </c>
      <c r="J511">
        <v>902.86</v>
      </c>
      <c r="K511">
        <v>10834.32</v>
      </c>
      <c r="L511" t="s">
        <v>22</v>
      </c>
      <c r="M511" t="s">
        <v>22</v>
      </c>
      <c r="N511" s="1">
        <v>46203</v>
      </c>
      <c r="O511">
        <v>10834.32</v>
      </c>
    </row>
    <row r="512" spans="1:15" x14ac:dyDescent="0.3">
      <c r="A512" t="s">
        <v>558</v>
      </c>
      <c r="B512" s="1">
        <v>45846</v>
      </c>
      <c r="C512" t="s">
        <v>535</v>
      </c>
      <c r="D512" t="s">
        <v>49</v>
      </c>
      <c r="E512" t="s">
        <v>25</v>
      </c>
      <c r="F512" t="s">
        <v>29</v>
      </c>
      <c r="G512" t="s">
        <v>20</v>
      </c>
      <c r="H512" t="s">
        <v>21</v>
      </c>
      <c r="I512">
        <v>12</v>
      </c>
      <c r="J512">
        <v>502.33</v>
      </c>
      <c r="K512">
        <v>6027.96</v>
      </c>
      <c r="L512" t="s">
        <v>22</v>
      </c>
      <c r="M512" t="s">
        <v>22</v>
      </c>
      <c r="N512" s="1">
        <v>46203</v>
      </c>
      <c r="O512">
        <v>6027.96</v>
      </c>
    </row>
    <row r="513" spans="1:15" x14ac:dyDescent="0.3">
      <c r="A513" t="s">
        <v>559</v>
      </c>
      <c r="B513" s="1">
        <v>45847</v>
      </c>
      <c r="C513" t="s">
        <v>535</v>
      </c>
      <c r="D513" t="s">
        <v>24</v>
      </c>
      <c r="E513" t="s">
        <v>25</v>
      </c>
      <c r="F513" t="s">
        <v>38</v>
      </c>
      <c r="G513" t="s">
        <v>39</v>
      </c>
      <c r="H513" t="s">
        <v>21</v>
      </c>
      <c r="I513">
        <v>12</v>
      </c>
      <c r="J513">
        <v>900.06</v>
      </c>
      <c r="K513">
        <v>10800.72</v>
      </c>
      <c r="L513" t="s">
        <v>22</v>
      </c>
      <c r="M513" t="s">
        <v>22</v>
      </c>
      <c r="N513" s="1">
        <v>46203</v>
      </c>
      <c r="O513">
        <v>10800.72</v>
      </c>
    </row>
    <row r="514" spans="1:15" x14ac:dyDescent="0.3">
      <c r="A514" t="s">
        <v>560</v>
      </c>
      <c r="B514" s="1">
        <v>45847</v>
      </c>
      <c r="C514" t="s">
        <v>535</v>
      </c>
      <c r="D514" t="s">
        <v>17</v>
      </c>
      <c r="E514" t="s">
        <v>50</v>
      </c>
      <c r="F514" t="s">
        <v>33</v>
      </c>
      <c r="G514" t="s">
        <v>39</v>
      </c>
      <c r="H514" t="s">
        <v>21</v>
      </c>
      <c r="I514">
        <v>12</v>
      </c>
      <c r="J514">
        <v>1448.67</v>
      </c>
      <c r="K514">
        <v>17384.04</v>
      </c>
      <c r="L514" t="s">
        <v>22</v>
      </c>
      <c r="M514" t="s">
        <v>22</v>
      </c>
      <c r="N514" s="1">
        <v>46203</v>
      </c>
      <c r="O514">
        <v>17384.04</v>
      </c>
    </row>
    <row r="515" spans="1:15" x14ac:dyDescent="0.3">
      <c r="A515" t="s">
        <v>561</v>
      </c>
      <c r="B515" s="1">
        <v>45848</v>
      </c>
      <c r="C515" t="s">
        <v>535</v>
      </c>
      <c r="D515" t="s">
        <v>49</v>
      </c>
      <c r="E515" t="s">
        <v>25</v>
      </c>
      <c r="F515" t="s">
        <v>33</v>
      </c>
      <c r="G515" t="s">
        <v>20</v>
      </c>
      <c r="H515" t="s">
        <v>40</v>
      </c>
      <c r="I515">
        <v>12</v>
      </c>
      <c r="J515">
        <v>486.18</v>
      </c>
      <c r="K515">
        <v>5834.16</v>
      </c>
      <c r="L515" t="s">
        <v>22</v>
      </c>
      <c r="M515" t="s">
        <v>22</v>
      </c>
      <c r="N515" s="1">
        <v>46203</v>
      </c>
      <c r="O515">
        <v>5834.16</v>
      </c>
    </row>
    <row r="516" spans="1:15" x14ac:dyDescent="0.3">
      <c r="A516" t="s">
        <v>562</v>
      </c>
      <c r="B516" s="1">
        <v>45848</v>
      </c>
      <c r="C516" t="s">
        <v>535</v>
      </c>
      <c r="D516" t="s">
        <v>49</v>
      </c>
      <c r="E516" t="s">
        <v>25</v>
      </c>
      <c r="F516" t="s">
        <v>51</v>
      </c>
      <c r="G516" t="s">
        <v>39</v>
      </c>
      <c r="H516" t="s">
        <v>45</v>
      </c>
      <c r="I516">
        <v>8</v>
      </c>
      <c r="J516">
        <v>480.92</v>
      </c>
      <c r="K516">
        <v>3847.36</v>
      </c>
      <c r="L516" t="s">
        <v>30</v>
      </c>
      <c r="M516" t="s">
        <v>31</v>
      </c>
      <c r="N516" s="1">
        <v>46102</v>
      </c>
      <c r="O516">
        <v>3847.36</v>
      </c>
    </row>
    <row r="517" spans="1:15" x14ac:dyDescent="0.3">
      <c r="A517" t="s">
        <v>563</v>
      </c>
      <c r="B517" s="1">
        <v>45848</v>
      </c>
      <c r="C517" t="s">
        <v>535</v>
      </c>
      <c r="D517" t="s">
        <v>17</v>
      </c>
      <c r="E517" t="s">
        <v>28</v>
      </c>
      <c r="F517" t="s">
        <v>19</v>
      </c>
      <c r="G517" t="s">
        <v>39</v>
      </c>
      <c r="H517" t="s">
        <v>21</v>
      </c>
      <c r="I517">
        <v>12</v>
      </c>
      <c r="J517">
        <v>1573.94</v>
      </c>
      <c r="K517">
        <v>18887.28</v>
      </c>
      <c r="L517" t="s">
        <v>22</v>
      </c>
      <c r="M517" t="s">
        <v>22</v>
      </c>
      <c r="N517" s="1">
        <v>46203</v>
      </c>
      <c r="O517">
        <v>18887.28</v>
      </c>
    </row>
    <row r="518" spans="1:15" x14ac:dyDescent="0.3">
      <c r="A518" t="s">
        <v>564</v>
      </c>
      <c r="B518" s="1">
        <v>45848</v>
      </c>
      <c r="C518" t="s">
        <v>535</v>
      </c>
      <c r="D518" t="s">
        <v>17</v>
      </c>
      <c r="E518" t="s">
        <v>25</v>
      </c>
      <c r="F518" t="s">
        <v>51</v>
      </c>
      <c r="G518" t="s">
        <v>20</v>
      </c>
      <c r="H518" t="s">
        <v>40</v>
      </c>
      <c r="I518">
        <v>12</v>
      </c>
      <c r="J518">
        <v>1459.54</v>
      </c>
      <c r="K518">
        <v>17514.48</v>
      </c>
      <c r="L518" t="s">
        <v>22</v>
      </c>
      <c r="M518" t="s">
        <v>22</v>
      </c>
      <c r="N518" s="1">
        <v>46203</v>
      </c>
      <c r="O518">
        <v>17514.48</v>
      </c>
    </row>
    <row r="519" spans="1:15" x14ac:dyDescent="0.3">
      <c r="A519" t="s">
        <v>565</v>
      </c>
      <c r="B519" s="1">
        <v>45848</v>
      </c>
      <c r="C519" t="s">
        <v>535</v>
      </c>
      <c r="D519" t="s">
        <v>49</v>
      </c>
      <c r="E519" t="s">
        <v>25</v>
      </c>
      <c r="F519" t="s">
        <v>19</v>
      </c>
      <c r="G519" t="s">
        <v>20</v>
      </c>
      <c r="H519" t="s">
        <v>21</v>
      </c>
      <c r="I519">
        <v>12</v>
      </c>
      <c r="J519">
        <v>511.52</v>
      </c>
      <c r="K519">
        <v>6138.24</v>
      </c>
      <c r="L519" t="s">
        <v>22</v>
      </c>
      <c r="M519" t="s">
        <v>22</v>
      </c>
      <c r="N519" s="1">
        <v>46203</v>
      </c>
      <c r="O519">
        <v>6138.24</v>
      </c>
    </row>
    <row r="520" spans="1:15" x14ac:dyDescent="0.3">
      <c r="A520" t="s">
        <v>566</v>
      </c>
      <c r="B520" s="1">
        <v>45849</v>
      </c>
      <c r="C520" t="s">
        <v>535</v>
      </c>
      <c r="D520" t="s">
        <v>24</v>
      </c>
      <c r="E520" t="s">
        <v>25</v>
      </c>
      <c r="F520" t="s">
        <v>19</v>
      </c>
      <c r="G520" t="s">
        <v>39</v>
      </c>
      <c r="H520" t="s">
        <v>21</v>
      </c>
      <c r="I520">
        <v>12</v>
      </c>
      <c r="J520">
        <v>873.42</v>
      </c>
      <c r="K520">
        <v>10481.040000000001</v>
      </c>
      <c r="L520" t="s">
        <v>22</v>
      </c>
      <c r="M520" t="s">
        <v>22</v>
      </c>
      <c r="N520" s="1">
        <v>46203</v>
      </c>
      <c r="O520">
        <v>10481.040000000001</v>
      </c>
    </row>
    <row r="521" spans="1:15" x14ac:dyDescent="0.3">
      <c r="A521" t="s">
        <v>567</v>
      </c>
      <c r="B521" s="1">
        <v>45850</v>
      </c>
      <c r="C521" t="s">
        <v>535</v>
      </c>
      <c r="D521" t="s">
        <v>17</v>
      </c>
      <c r="E521" t="s">
        <v>28</v>
      </c>
      <c r="F521" t="s">
        <v>19</v>
      </c>
      <c r="G521" t="s">
        <v>39</v>
      </c>
      <c r="H521" t="s">
        <v>45</v>
      </c>
      <c r="I521">
        <v>12</v>
      </c>
      <c r="J521">
        <v>1481.6</v>
      </c>
      <c r="K521">
        <v>17779.2</v>
      </c>
      <c r="L521" t="s">
        <v>22</v>
      </c>
      <c r="M521" t="s">
        <v>22</v>
      </c>
      <c r="N521" s="1">
        <v>46203</v>
      </c>
      <c r="O521">
        <v>17779.2</v>
      </c>
    </row>
    <row r="522" spans="1:15" x14ac:dyDescent="0.3">
      <c r="A522" t="s">
        <v>568</v>
      </c>
      <c r="B522" s="1">
        <v>45850</v>
      </c>
      <c r="C522" t="s">
        <v>535</v>
      </c>
      <c r="D522" t="s">
        <v>49</v>
      </c>
      <c r="E522" t="s">
        <v>25</v>
      </c>
      <c r="F522" t="s">
        <v>29</v>
      </c>
      <c r="G522" t="s">
        <v>26</v>
      </c>
      <c r="H522" t="s">
        <v>40</v>
      </c>
      <c r="I522">
        <v>12</v>
      </c>
      <c r="J522">
        <v>459.19</v>
      </c>
      <c r="K522">
        <v>5510.28</v>
      </c>
      <c r="L522" t="s">
        <v>22</v>
      </c>
      <c r="M522" t="s">
        <v>22</v>
      </c>
      <c r="N522" s="1">
        <v>46203</v>
      </c>
      <c r="O522">
        <v>5510.28</v>
      </c>
    </row>
    <row r="523" spans="1:15" x14ac:dyDescent="0.3">
      <c r="A523" t="s">
        <v>569</v>
      </c>
      <c r="B523" s="1">
        <v>45851</v>
      </c>
      <c r="C523" t="s">
        <v>535</v>
      </c>
      <c r="D523" t="s">
        <v>17</v>
      </c>
      <c r="E523" t="s">
        <v>28</v>
      </c>
      <c r="F523" t="s">
        <v>19</v>
      </c>
      <c r="G523" t="s">
        <v>39</v>
      </c>
      <c r="H523" t="s">
        <v>34</v>
      </c>
      <c r="I523">
        <v>12</v>
      </c>
      <c r="J523">
        <v>1545.58</v>
      </c>
      <c r="K523">
        <v>18546.96</v>
      </c>
      <c r="L523" t="s">
        <v>22</v>
      </c>
      <c r="M523" t="s">
        <v>22</v>
      </c>
      <c r="N523" s="1">
        <v>46203</v>
      </c>
      <c r="O523">
        <v>18546.96</v>
      </c>
    </row>
    <row r="524" spans="1:15" x14ac:dyDescent="0.3">
      <c r="A524" t="s">
        <v>570</v>
      </c>
      <c r="B524" s="1">
        <v>45851</v>
      </c>
      <c r="C524" t="s">
        <v>535</v>
      </c>
      <c r="D524" t="s">
        <v>49</v>
      </c>
      <c r="E524" t="s">
        <v>18</v>
      </c>
      <c r="F524" t="s">
        <v>19</v>
      </c>
      <c r="G524" t="s">
        <v>39</v>
      </c>
      <c r="H524" t="s">
        <v>21</v>
      </c>
      <c r="I524">
        <v>7</v>
      </c>
      <c r="J524">
        <v>486.83</v>
      </c>
      <c r="K524">
        <v>3407.81</v>
      </c>
      <c r="L524" t="s">
        <v>30</v>
      </c>
      <c r="M524" t="s">
        <v>43</v>
      </c>
      <c r="N524" s="1">
        <v>46077</v>
      </c>
      <c r="O524">
        <v>3407.81</v>
      </c>
    </row>
    <row r="525" spans="1:15" x14ac:dyDescent="0.3">
      <c r="A525" t="s">
        <v>571</v>
      </c>
      <c r="B525" s="1">
        <v>45851</v>
      </c>
      <c r="C525" t="s">
        <v>535</v>
      </c>
      <c r="D525" t="s">
        <v>24</v>
      </c>
      <c r="E525" t="s">
        <v>50</v>
      </c>
      <c r="F525" t="s">
        <v>33</v>
      </c>
      <c r="G525" t="s">
        <v>39</v>
      </c>
      <c r="H525" t="s">
        <v>45</v>
      </c>
      <c r="I525">
        <v>12</v>
      </c>
      <c r="J525">
        <v>961.55</v>
      </c>
      <c r="K525">
        <v>11538.6</v>
      </c>
      <c r="L525" t="s">
        <v>22</v>
      </c>
      <c r="M525" t="s">
        <v>22</v>
      </c>
      <c r="N525" s="1">
        <v>46203</v>
      </c>
      <c r="O525">
        <v>11538.6</v>
      </c>
    </row>
    <row r="526" spans="1:15" x14ac:dyDescent="0.3">
      <c r="A526" t="s">
        <v>572</v>
      </c>
      <c r="B526" s="1">
        <v>45852</v>
      </c>
      <c r="C526" t="s">
        <v>535</v>
      </c>
      <c r="D526" t="s">
        <v>24</v>
      </c>
      <c r="E526" t="s">
        <v>25</v>
      </c>
      <c r="F526" t="s">
        <v>29</v>
      </c>
      <c r="G526" t="s">
        <v>20</v>
      </c>
      <c r="H526" t="s">
        <v>40</v>
      </c>
      <c r="I526">
        <v>12</v>
      </c>
      <c r="J526">
        <v>977.67</v>
      </c>
      <c r="K526">
        <v>11732.04</v>
      </c>
      <c r="L526" t="s">
        <v>22</v>
      </c>
      <c r="M526" t="s">
        <v>22</v>
      </c>
      <c r="N526" s="1">
        <v>46203</v>
      </c>
      <c r="O526">
        <v>11732.04</v>
      </c>
    </row>
    <row r="527" spans="1:15" x14ac:dyDescent="0.3">
      <c r="A527" t="s">
        <v>573</v>
      </c>
      <c r="B527" s="1">
        <v>45852</v>
      </c>
      <c r="C527" t="s">
        <v>535</v>
      </c>
      <c r="D527" t="s">
        <v>49</v>
      </c>
      <c r="E527" t="s">
        <v>50</v>
      </c>
      <c r="F527" t="s">
        <v>29</v>
      </c>
      <c r="G527" t="s">
        <v>39</v>
      </c>
      <c r="H527" t="s">
        <v>21</v>
      </c>
      <c r="I527">
        <v>12</v>
      </c>
      <c r="J527">
        <v>458.78</v>
      </c>
      <c r="K527">
        <v>5505.36</v>
      </c>
      <c r="L527" t="s">
        <v>22</v>
      </c>
      <c r="M527" t="s">
        <v>22</v>
      </c>
      <c r="N527" s="1">
        <v>46203</v>
      </c>
      <c r="O527">
        <v>5505.36</v>
      </c>
    </row>
    <row r="528" spans="1:15" x14ac:dyDescent="0.3">
      <c r="A528" t="s">
        <v>574</v>
      </c>
      <c r="B528" s="1">
        <v>45852</v>
      </c>
      <c r="C528" t="s">
        <v>535</v>
      </c>
      <c r="D528" t="s">
        <v>49</v>
      </c>
      <c r="E528" t="s">
        <v>25</v>
      </c>
      <c r="F528" t="s">
        <v>29</v>
      </c>
      <c r="G528" t="s">
        <v>39</v>
      </c>
      <c r="H528" t="s">
        <v>21</v>
      </c>
      <c r="I528">
        <v>12</v>
      </c>
      <c r="J528">
        <v>548.39</v>
      </c>
      <c r="K528">
        <v>6580.68</v>
      </c>
      <c r="L528" t="s">
        <v>22</v>
      </c>
      <c r="M528" t="s">
        <v>22</v>
      </c>
      <c r="N528" s="1">
        <v>46203</v>
      </c>
      <c r="O528">
        <v>6580.68</v>
      </c>
    </row>
    <row r="529" spans="1:15" x14ac:dyDescent="0.3">
      <c r="A529" t="s">
        <v>575</v>
      </c>
      <c r="B529" s="1">
        <v>45853</v>
      </c>
      <c r="C529" t="s">
        <v>535</v>
      </c>
      <c r="D529" t="s">
        <v>17</v>
      </c>
      <c r="E529" t="s">
        <v>50</v>
      </c>
      <c r="F529" t="s">
        <v>19</v>
      </c>
      <c r="G529" t="s">
        <v>20</v>
      </c>
      <c r="H529" t="s">
        <v>40</v>
      </c>
      <c r="I529">
        <v>11</v>
      </c>
      <c r="J529">
        <v>1446.94</v>
      </c>
      <c r="K529">
        <v>15916.34</v>
      </c>
      <c r="L529" t="s">
        <v>22</v>
      </c>
      <c r="M529" t="s">
        <v>22</v>
      </c>
      <c r="N529" s="1">
        <v>46203</v>
      </c>
      <c r="O529">
        <v>15916.34</v>
      </c>
    </row>
    <row r="530" spans="1:15" x14ac:dyDescent="0.3">
      <c r="A530" t="s">
        <v>576</v>
      </c>
      <c r="B530" s="1">
        <v>45853</v>
      </c>
      <c r="C530" t="s">
        <v>535</v>
      </c>
      <c r="D530" t="s">
        <v>17</v>
      </c>
      <c r="E530" t="s">
        <v>50</v>
      </c>
      <c r="F530" t="s">
        <v>19</v>
      </c>
      <c r="G530" t="s">
        <v>26</v>
      </c>
      <c r="H530" t="s">
        <v>21</v>
      </c>
      <c r="I530">
        <v>11</v>
      </c>
      <c r="J530">
        <v>1539.51</v>
      </c>
      <c r="K530">
        <v>16934.61</v>
      </c>
      <c r="L530" t="s">
        <v>22</v>
      </c>
      <c r="M530" t="s">
        <v>22</v>
      </c>
      <c r="N530" s="1">
        <v>46203</v>
      </c>
      <c r="O530">
        <v>16934.61</v>
      </c>
    </row>
    <row r="531" spans="1:15" x14ac:dyDescent="0.3">
      <c r="A531" t="s">
        <v>577</v>
      </c>
      <c r="B531" s="1">
        <v>45853</v>
      </c>
      <c r="C531" t="s">
        <v>535</v>
      </c>
      <c r="D531" t="s">
        <v>24</v>
      </c>
      <c r="E531" t="s">
        <v>18</v>
      </c>
      <c r="F531" t="s">
        <v>19</v>
      </c>
      <c r="G531" t="s">
        <v>39</v>
      </c>
      <c r="H531" t="s">
        <v>40</v>
      </c>
      <c r="I531">
        <v>6</v>
      </c>
      <c r="J531">
        <v>982.92</v>
      </c>
      <c r="K531">
        <v>5897.52</v>
      </c>
      <c r="L531" t="s">
        <v>30</v>
      </c>
      <c r="M531" t="s">
        <v>36</v>
      </c>
      <c r="N531" s="1">
        <v>46023</v>
      </c>
      <c r="O531">
        <v>5897.52</v>
      </c>
    </row>
    <row r="532" spans="1:15" x14ac:dyDescent="0.3">
      <c r="A532" t="s">
        <v>578</v>
      </c>
      <c r="B532" s="1">
        <v>45854</v>
      </c>
      <c r="C532" t="s">
        <v>535</v>
      </c>
      <c r="D532" t="s">
        <v>17</v>
      </c>
      <c r="E532" t="s">
        <v>18</v>
      </c>
      <c r="F532" t="s">
        <v>19</v>
      </c>
      <c r="G532" t="s">
        <v>39</v>
      </c>
      <c r="H532" t="s">
        <v>21</v>
      </c>
      <c r="I532">
        <v>11</v>
      </c>
      <c r="J532">
        <v>1472.36</v>
      </c>
      <c r="K532">
        <v>16195.96</v>
      </c>
      <c r="L532" t="s">
        <v>22</v>
      </c>
      <c r="M532" t="s">
        <v>22</v>
      </c>
      <c r="N532" s="1">
        <v>46203</v>
      </c>
      <c r="O532">
        <v>16195.96</v>
      </c>
    </row>
    <row r="533" spans="1:15" x14ac:dyDescent="0.3">
      <c r="A533" t="s">
        <v>579</v>
      </c>
      <c r="B533" s="1">
        <v>45855</v>
      </c>
      <c r="C533" t="s">
        <v>535</v>
      </c>
      <c r="D533" t="s">
        <v>49</v>
      </c>
      <c r="E533" t="s">
        <v>25</v>
      </c>
      <c r="F533" t="s">
        <v>33</v>
      </c>
      <c r="G533" t="s">
        <v>39</v>
      </c>
      <c r="H533" t="s">
        <v>45</v>
      </c>
      <c r="I533">
        <v>11</v>
      </c>
      <c r="J533">
        <v>460.52</v>
      </c>
      <c r="K533">
        <v>5065.72</v>
      </c>
      <c r="L533" t="s">
        <v>22</v>
      </c>
      <c r="M533" t="s">
        <v>22</v>
      </c>
      <c r="N533" s="1">
        <v>46203</v>
      </c>
      <c r="O533">
        <v>5065.72</v>
      </c>
    </row>
    <row r="534" spans="1:15" x14ac:dyDescent="0.3">
      <c r="A534" t="s">
        <v>580</v>
      </c>
      <c r="B534" s="1">
        <v>45855</v>
      </c>
      <c r="C534" t="s">
        <v>535</v>
      </c>
      <c r="D534" t="s">
        <v>24</v>
      </c>
      <c r="E534" t="s">
        <v>50</v>
      </c>
      <c r="F534" t="s">
        <v>51</v>
      </c>
      <c r="G534" t="s">
        <v>39</v>
      </c>
      <c r="H534" t="s">
        <v>21</v>
      </c>
      <c r="I534">
        <v>11</v>
      </c>
      <c r="J534">
        <v>955.06</v>
      </c>
      <c r="K534">
        <v>10505.66</v>
      </c>
      <c r="L534" t="s">
        <v>22</v>
      </c>
      <c r="M534" t="s">
        <v>22</v>
      </c>
      <c r="N534" s="1">
        <v>46203</v>
      </c>
      <c r="O534">
        <v>10505.66</v>
      </c>
    </row>
    <row r="535" spans="1:15" x14ac:dyDescent="0.3">
      <c r="A535" t="s">
        <v>581</v>
      </c>
      <c r="B535" s="1">
        <v>45855</v>
      </c>
      <c r="C535" t="s">
        <v>535</v>
      </c>
      <c r="D535" t="s">
        <v>24</v>
      </c>
      <c r="E535" t="s">
        <v>50</v>
      </c>
      <c r="F535" t="s">
        <v>33</v>
      </c>
      <c r="G535" t="s">
        <v>20</v>
      </c>
      <c r="H535" t="s">
        <v>21</v>
      </c>
      <c r="I535">
        <v>3</v>
      </c>
      <c r="J535">
        <v>862.34</v>
      </c>
      <c r="K535">
        <v>2587.02</v>
      </c>
      <c r="L535" t="s">
        <v>30</v>
      </c>
      <c r="M535" t="s">
        <v>36</v>
      </c>
      <c r="N535" s="1">
        <v>45948</v>
      </c>
      <c r="O535">
        <v>2587.02</v>
      </c>
    </row>
    <row r="536" spans="1:15" x14ac:dyDescent="0.3">
      <c r="A536" t="s">
        <v>582</v>
      </c>
      <c r="B536" s="1">
        <v>45855</v>
      </c>
      <c r="C536" t="s">
        <v>535</v>
      </c>
      <c r="D536" t="s">
        <v>24</v>
      </c>
      <c r="E536" t="s">
        <v>28</v>
      </c>
      <c r="F536" t="s">
        <v>29</v>
      </c>
      <c r="G536" t="s">
        <v>39</v>
      </c>
      <c r="H536" t="s">
        <v>45</v>
      </c>
      <c r="I536">
        <v>11</v>
      </c>
      <c r="J536">
        <v>848.67</v>
      </c>
      <c r="K536">
        <v>9335.3700000000008</v>
      </c>
      <c r="L536" t="s">
        <v>22</v>
      </c>
      <c r="M536" t="s">
        <v>22</v>
      </c>
      <c r="N536" s="1">
        <v>46203</v>
      </c>
      <c r="O536">
        <v>9335.3700000000008</v>
      </c>
    </row>
    <row r="537" spans="1:15" x14ac:dyDescent="0.3">
      <c r="A537" t="s">
        <v>583</v>
      </c>
      <c r="B537" s="1">
        <v>45856</v>
      </c>
      <c r="C537" t="s">
        <v>535</v>
      </c>
      <c r="D537" t="s">
        <v>49</v>
      </c>
      <c r="E537" t="s">
        <v>18</v>
      </c>
      <c r="F537" t="s">
        <v>33</v>
      </c>
      <c r="G537" t="s">
        <v>39</v>
      </c>
      <c r="H537" t="s">
        <v>34</v>
      </c>
      <c r="I537">
        <v>11</v>
      </c>
      <c r="J537">
        <v>499.87</v>
      </c>
      <c r="K537">
        <v>5498.57</v>
      </c>
      <c r="L537" t="s">
        <v>22</v>
      </c>
      <c r="M537" t="s">
        <v>22</v>
      </c>
      <c r="N537" s="1">
        <v>46203</v>
      </c>
      <c r="O537">
        <v>5498.57</v>
      </c>
    </row>
    <row r="538" spans="1:15" x14ac:dyDescent="0.3">
      <c r="A538" t="s">
        <v>584</v>
      </c>
      <c r="B538" s="1">
        <v>45856</v>
      </c>
      <c r="C538" t="s">
        <v>535</v>
      </c>
      <c r="D538" t="s">
        <v>24</v>
      </c>
      <c r="E538" t="s">
        <v>25</v>
      </c>
      <c r="F538" t="s">
        <v>19</v>
      </c>
      <c r="G538" t="s">
        <v>39</v>
      </c>
      <c r="H538" t="s">
        <v>21</v>
      </c>
      <c r="I538">
        <v>5</v>
      </c>
      <c r="J538">
        <v>889.97</v>
      </c>
      <c r="K538">
        <v>4449.8500000000004</v>
      </c>
      <c r="L538" t="s">
        <v>30</v>
      </c>
      <c r="M538" t="s">
        <v>36</v>
      </c>
      <c r="N538" s="1">
        <v>46002</v>
      </c>
      <c r="O538">
        <v>4449.8500000000004</v>
      </c>
    </row>
    <row r="539" spans="1:15" x14ac:dyDescent="0.3">
      <c r="A539" t="s">
        <v>585</v>
      </c>
      <c r="B539" s="1">
        <v>45856</v>
      </c>
      <c r="C539" t="s">
        <v>535</v>
      </c>
      <c r="D539" t="s">
        <v>24</v>
      </c>
      <c r="E539" t="s">
        <v>28</v>
      </c>
      <c r="F539" t="s">
        <v>33</v>
      </c>
      <c r="G539" t="s">
        <v>39</v>
      </c>
      <c r="H539" t="s">
        <v>45</v>
      </c>
      <c r="I539">
        <v>11</v>
      </c>
      <c r="J539">
        <v>933.72</v>
      </c>
      <c r="K539">
        <v>10270.92</v>
      </c>
      <c r="L539" t="s">
        <v>30</v>
      </c>
      <c r="M539" t="s">
        <v>36</v>
      </c>
      <c r="N539" s="1">
        <v>46188</v>
      </c>
      <c r="O539">
        <v>10270.92</v>
      </c>
    </row>
    <row r="540" spans="1:15" x14ac:dyDescent="0.3">
      <c r="A540" t="s">
        <v>586</v>
      </c>
      <c r="B540" s="1">
        <v>45856</v>
      </c>
      <c r="C540" t="s">
        <v>535</v>
      </c>
      <c r="D540" t="s">
        <v>24</v>
      </c>
      <c r="E540" t="s">
        <v>25</v>
      </c>
      <c r="F540" t="s">
        <v>33</v>
      </c>
      <c r="G540" t="s">
        <v>26</v>
      </c>
      <c r="H540" t="s">
        <v>21</v>
      </c>
      <c r="I540">
        <v>11</v>
      </c>
      <c r="J540">
        <v>869.24</v>
      </c>
      <c r="K540">
        <v>9561.64</v>
      </c>
      <c r="L540" t="s">
        <v>22</v>
      </c>
      <c r="M540" t="s">
        <v>22</v>
      </c>
      <c r="N540" s="1">
        <v>46203</v>
      </c>
      <c r="O540">
        <v>9561.64</v>
      </c>
    </row>
    <row r="541" spans="1:15" x14ac:dyDescent="0.3">
      <c r="A541" t="s">
        <v>587</v>
      </c>
      <c r="B541" s="1">
        <v>45856</v>
      </c>
      <c r="C541" t="s">
        <v>535</v>
      </c>
      <c r="D541" t="s">
        <v>49</v>
      </c>
      <c r="E541" t="s">
        <v>50</v>
      </c>
      <c r="F541" t="s">
        <v>38</v>
      </c>
      <c r="G541" t="s">
        <v>39</v>
      </c>
      <c r="H541" t="s">
        <v>21</v>
      </c>
      <c r="I541">
        <v>11</v>
      </c>
      <c r="J541">
        <v>526.14</v>
      </c>
      <c r="K541">
        <v>5787.54</v>
      </c>
      <c r="L541" t="s">
        <v>22</v>
      </c>
      <c r="M541" t="s">
        <v>22</v>
      </c>
      <c r="N541" s="1">
        <v>46203</v>
      </c>
      <c r="O541">
        <v>5787.54</v>
      </c>
    </row>
    <row r="542" spans="1:15" x14ac:dyDescent="0.3">
      <c r="A542" t="s">
        <v>588</v>
      </c>
      <c r="B542" s="1">
        <v>45857</v>
      </c>
      <c r="C542" t="s">
        <v>535</v>
      </c>
      <c r="D542" t="s">
        <v>24</v>
      </c>
      <c r="E542" t="s">
        <v>25</v>
      </c>
      <c r="F542" t="s">
        <v>29</v>
      </c>
      <c r="G542" t="s">
        <v>20</v>
      </c>
      <c r="H542" t="s">
        <v>40</v>
      </c>
      <c r="I542">
        <v>11</v>
      </c>
      <c r="J542">
        <v>972.06</v>
      </c>
      <c r="K542">
        <v>10692.66</v>
      </c>
      <c r="L542" t="s">
        <v>22</v>
      </c>
      <c r="M542" t="s">
        <v>22</v>
      </c>
      <c r="N542" s="1">
        <v>46203</v>
      </c>
      <c r="O542">
        <v>10692.66</v>
      </c>
    </row>
    <row r="543" spans="1:15" x14ac:dyDescent="0.3">
      <c r="A543" t="s">
        <v>589</v>
      </c>
      <c r="B543" s="1">
        <v>45857</v>
      </c>
      <c r="C543" t="s">
        <v>535</v>
      </c>
      <c r="D543" t="s">
        <v>24</v>
      </c>
      <c r="E543" t="s">
        <v>28</v>
      </c>
      <c r="F543" t="s">
        <v>29</v>
      </c>
      <c r="G543" t="s">
        <v>39</v>
      </c>
      <c r="H543" t="s">
        <v>40</v>
      </c>
      <c r="I543">
        <v>11</v>
      </c>
      <c r="J543">
        <v>929.73</v>
      </c>
      <c r="K543">
        <v>10227.030000000001</v>
      </c>
      <c r="L543" t="s">
        <v>22</v>
      </c>
      <c r="M543" t="s">
        <v>22</v>
      </c>
      <c r="N543" s="1">
        <v>46203</v>
      </c>
      <c r="O543">
        <v>10227.030000000001</v>
      </c>
    </row>
    <row r="544" spans="1:15" x14ac:dyDescent="0.3">
      <c r="A544" t="s">
        <v>590</v>
      </c>
      <c r="B544" s="1">
        <v>45857</v>
      </c>
      <c r="C544" t="s">
        <v>535</v>
      </c>
      <c r="D544" t="s">
        <v>24</v>
      </c>
      <c r="E544" t="s">
        <v>25</v>
      </c>
      <c r="F544" t="s">
        <v>38</v>
      </c>
      <c r="G544" t="s">
        <v>20</v>
      </c>
      <c r="H544" t="s">
        <v>21</v>
      </c>
      <c r="I544">
        <v>11</v>
      </c>
      <c r="J544">
        <v>965.26</v>
      </c>
      <c r="K544">
        <v>10617.86</v>
      </c>
      <c r="L544" t="s">
        <v>22</v>
      </c>
      <c r="M544" t="s">
        <v>22</v>
      </c>
      <c r="N544" s="1">
        <v>46203</v>
      </c>
      <c r="O544">
        <v>10617.86</v>
      </c>
    </row>
    <row r="545" spans="1:15" x14ac:dyDescent="0.3">
      <c r="A545" t="s">
        <v>591</v>
      </c>
      <c r="B545" s="1">
        <v>45857</v>
      </c>
      <c r="C545" t="s">
        <v>535</v>
      </c>
      <c r="D545" t="s">
        <v>49</v>
      </c>
      <c r="E545" t="s">
        <v>50</v>
      </c>
      <c r="F545" t="s">
        <v>33</v>
      </c>
      <c r="G545" t="s">
        <v>39</v>
      </c>
      <c r="H545" t="s">
        <v>34</v>
      </c>
      <c r="I545">
        <v>11</v>
      </c>
      <c r="J545">
        <v>479.31</v>
      </c>
      <c r="K545">
        <v>5272.41</v>
      </c>
      <c r="L545" t="s">
        <v>22</v>
      </c>
      <c r="M545" t="s">
        <v>22</v>
      </c>
      <c r="N545" s="1">
        <v>46203</v>
      </c>
      <c r="O545">
        <v>5272.41</v>
      </c>
    </row>
    <row r="546" spans="1:15" x14ac:dyDescent="0.3">
      <c r="A546" t="s">
        <v>592</v>
      </c>
      <c r="B546" s="1">
        <v>45857</v>
      </c>
      <c r="C546" t="s">
        <v>535</v>
      </c>
      <c r="D546" t="s">
        <v>24</v>
      </c>
      <c r="E546" t="s">
        <v>25</v>
      </c>
      <c r="F546" t="s">
        <v>38</v>
      </c>
      <c r="G546" t="s">
        <v>20</v>
      </c>
      <c r="H546" t="s">
        <v>21</v>
      </c>
      <c r="I546">
        <v>11</v>
      </c>
      <c r="J546">
        <v>980.73</v>
      </c>
      <c r="K546">
        <v>10788.03</v>
      </c>
      <c r="L546" t="s">
        <v>22</v>
      </c>
      <c r="M546" t="s">
        <v>22</v>
      </c>
      <c r="N546" s="1">
        <v>46203</v>
      </c>
      <c r="O546">
        <v>10788.03</v>
      </c>
    </row>
    <row r="547" spans="1:15" x14ac:dyDescent="0.3">
      <c r="A547" t="s">
        <v>593</v>
      </c>
      <c r="B547" s="1">
        <v>45858</v>
      </c>
      <c r="C547" t="s">
        <v>535</v>
      </c>
      <c r="D547" t="s">
        <v>24</v>
      </c>
      <c r="E547" t="s">
        <v>25</v>
      </c>
      <c r="F547" t="s">
        <v>29</v>
      </c>
      <c r="G547" t="s">
        <v>20</v>
      </c>
      <c r="H547" t="s">
        <v>21</v>
      </c>
      <c r="I547">
        <v>11</v>
      </c>
      <c r="J547">
        <v>861.49</v>
      </c>
      <c r="K547">
        <v>9476.39</v>
      </c>
      <c r="L547" t="s">
        <v>22</v>
      </c>
      <c r="M547" t="s">
        <v>22</v>
      </c>
      <c r="N547" s="1">
        <v>46203</v>
      </c>
      <c r="O547">
        <v>9476.39</v>
      </c>
    </row>
    <row r="548" spans="1:15" x14ac:dyDescent="0.3">
      <c r="A548" t="s">
        <v>594</v>
      </c>
      <c r="B548" s="1">
        <v>45858</v>
      </c>
      <c r="C548" t="s">
        <v>535</v>
      </c>
      <c r="D548" t="s">
        <v>17</v>
      </c>
      <c r="E548" t="s">
        <v>28</v>
      </c>
      <c r="F548" t="s">
        <v>33</v>
      </c>
      <c r="G548" t="s">
        <v>20</v>
      </c>
      <c r="H548" t="s">
        <v>34</v>
      </c>
      <c r="I548">
        <v>11</v>
      </c>
      <c r="J548">
        <v>1548.41</v>
      </c>
      <c r="K548">
        <v>17032.509999999998</v>
      </c>
      <c r="L548" t="s">
        <v>22</v>
      </c>
      <c r="M548" t="s">
        <v>22</v>
      </c>
      <c r="N548" s="1">
        <v>46203</v>
      </c>
      <c r="O548">
        <v>17032.509999999998</v>
      </c>
    </row>
    <row r="549" spans="1:15" x14ac:dyDescent="0.3">
      <c r="A549" t="s">
        <v>595</v>
      </c>
      <c r="B549" s="1">
        <v>45859</v>
      </c>
      <c r="C549" t="s">
        <v>535</v>
      </c>
      <c r="D549" t="s">
        <v>24</v>
      </c>
      <c r="E549" t="s">
        <v>50</v>
      </c>
      <c r="F549" t="s">
        <v>19</v>
      </c>
      <c r="G549" t="s">
        <v>20</v>
      </c>
      <c r="H549" t="s">
        <v>40</v>
      </c>
      <c r="I549">
        <v>11</v>
      </c>
      <c r="J549">
        <v>833.98</v>
      </c>
      <c r="K549">
        <v>9173.7800000000007</v>
      </c>
      <c r="L549" t="s">
        <v>22</v>
      </c>
      <c r="M549" t="s">
        <v>22</v>
      </c>
      <c r="N549" s="1">
        <v>46203</v>
      </c>
      <c r="O549">
        <v>9173.7800000000007</v>
      </c>
    </row>
    <row r="550" spans="1:15" x14ac:dyDescent="0.3">
      <c r="A550" t="s">
        <v>596</v>
      </c>
      <c r="B550" s="1">
        <v>45859</v>
      </c>
      <c r="C550" t="s">
        <v>535</v>
      </c>
      <c r="D550" t="s">
        <v>24</v>
      </c>
      <c r="E550" t="s">
        <v>28</v>
      </c>
      <c r="F550" t="s">
        <v>29</v>
      </c>
      <c r="G550" t="s">
        <v>39</v>
      </c>
      <c r="H550" t="s">
        <v>21</v>
      </c>
      <c r="I550">
        <v>11</v>
      </c>
      <c r="J550">
        <v>885.07</v>
      </c>
      <c r="K550">
        <v>9735.77</v>
      </c>
      <c r="L550" t="s">
        <v>22</v>
      </c>
      <c r="M550" t="s">
        <v>22</v>
      </c>
      <c r="N550" s="1">
        <v>46203</v>
      </c>
      <c r="O550">
        <v>9735.77</v>
      </c>
    </row>
    <row r="551" spans="1:15" x14ac:dyDescent="0.3">
      <c r="A551" t="s">
        <v>597</v>
      </c>
      <c r="B551" s="1">
        <v>45860</v>
      </c>
      <c r="C551" t="s">
        <v>535</v>
      </c>
      <c r="D551" t="s">
        <v>49</v>
      </c>
      <c r="E551" t="s">
        <v>28</v>
      </c>
      <c r="F551" t="s">
        <v>38</v>
      </c>
      <c r="G551" t="s">
        <v>20</v>
      </c>
      <c r="H551" t="s">
        <v>45</v>
      </c>
      <c r="I551">
        <v>11</v>
      </c>
      <c r="J551">
        <v>528.12</v>
      </c>
      <c r="K551">
        <v>5809.32</v>
      </c>
      <c r="L551" t="s">
        <v>22</v>
      </c>
      <c r="M551" t="s">
        <v>22</v>
      </c>
      <c r="N551" s="1">
        <v>46203</v>
      </c>
      <c r="O551">
        <v>5809.32</v>
      </c>
    </row>
    <row r="552" spans="1:15" x14ac:dyDescent="0.3">
      <c r="A552" t="s">
        <v>598</v>
      </c>
      <c r="B552" s="1">
        <v>45860</v>
      </c>
      <c r="C552" t="s">
        <v>535</v>
      </c>
      <c r="D552" t="s">
        <v>17</v>
      </c>
      <c r="E552" t="s">
        <v>18</v>
      </c>
      <c r="F552" t="s">
        <v>19</v>
      </c>
      <c r="G552" t="s">
        <v>39</v>
      </c>
      <c r="H552" t="s">
        <v>34</v>
      </c>
      <c r="I552">
        <v>11</v>
      </c>
      <c r="J552">
        <v>1435.11</v>
      </c>
      <c r="K552">
        <v>15786.21</v>
      </c>
      <c r="L552" t="s">
        <v>22</v>
      </c>
      <c r="M552" t="s">
        <v>22</v>
      </c>
      <c r="N552" s="1">
        <v>46203</v>
      </c>
      <c r="O552">
        <v>15786.21</v>
      </c>
    </row>
    <row r="553" spans="1:15" x14ac:dyDescent="0.3">
      <c r="A553" t="s">
        <v>599</v>
      </c>
      <c r="B553" s="1">
        <v>45860</v>
      </c>
      <c r="C553" t="s">
        <v>535</v>
      </c>
      <c r="D553" t="s">
        <v>17</v>
      </c>
      <c r="E553" t="s">
        <v>50</v>
      </c>
      <c r="F553" t="s">
        <v>19</v>
      </c>
      <c r="G553" t="s">
        <v>26</v>
      </c>
      <c r="H553" t="s">
        <v>40</v>
      </c>
      <c r="I553">
        <v>8</v>
      </c>
      <c r="J553">
        <v>1403</v>
      </c>
      <c r="K553">
        <v>11224</v>
      </c>
      <c r="L553" t="s">
        <v>30</v>
      </c>
      <c r="M553" t="s">
        <v>41</v>
      </c>
      <c r="N553" s="1">
        <v>46089</v>
      </c>
      <c r="O553">
        <v>11224</v>
      </c>
    </row>
    <row r="554" spans="1:15" x14ac:dyDescent="0.3">
      <c r="A554" t="s">
        <v>600</v>
      </c>
      <c r="B554" s="1">
        <v>45860</v>
      </c>
      <c r="C554" t="s">
        <v>535</v>
      </c>
      <c r="D554" t="s">
        <v>49</v>
      </c>
      <c r="E554" t="s">
        <v>50</v>
      </c>
      <c r="F554" t="s">
        <v>33</v>
      </c>
      <c r="G554" t="s">
        <v>20</v>
      </c>
      <c r="H554" t="s">
        <v>34</v>
      </c>
      <c r="I554">
        <v>11</v>
      </c>
      <c r="J554">
        <v>540.19000000000005</v>
      </c>
      <c r="K554">
        <v>5942.09</v>
      </c>
      <c r="L554" t="s">
        <v>22</v>
      </c>
      <c r="M554" t="s">
        <v>22</v>
      </c>
      <c r="N554" s="1">
        <v>46203</v>
      </c>
      <c r="O554">
        <v>5942.09</v>
      </c>
    </row>
    <row r="555" spans="1:15" x14ac:dyDescent="0.3">
      <c r="A555" t="s">
        <v>601</v>
      </c>
      <c r="B555" s="1">
        <v>45860</v>
      </c>
      <c r="C555" t="s">
        <v>535</v>
      </c>
      <c r="D555" t="s">
        <v>49</v>
      </c>
      <c r="E555" t="s">
        <v>28</v>
      </c>
      <c r="F555" t="s">
        <v>38</v>
      </c>
      <c r="G555" t="s">
        <v>20</v>
      </c>
      <c r="H555" t="s">
        <v>40</v>
      </c>
      <c r="I555">
        <v>11</v>
      </c>
      <c r="J555">
        <v>531.97</v>
      </c>
      <c r="K555">
        <v>5851.67</v>
      </c>
      <c r="L555" t="s">
        <v>22</v>
      </c>
      <c r="M555" t="s">
        <v>22</v>
      </c>
      <c r="N555" s="1">
        <v>46203</v>
      </c>
      <c r="O555">
        <v>5851.67</v>
      </c>
    </row>
    <row r="556" spans="1:15" x14ac:dyDescent="0.3">
      <c r="A556" t="s">
        <v>602</v>
      </c>
      <c r="B556" s="1">
        <v>45860</v>
      </c>
      <c r="C556" t="s">
        <v>535</v>
      </c>
      <c r="D556" t="s">
        <v>24</v>
      </c>
      <c r="E556" t="s">
        <v>18</v>
      </c>
      <c r="F556" t="s">
        <v>33</v>
      </c>
      <c r="G556" t="s">
        <v>39</v>
      </c>
      <c r="H556" t="s">
        <v>40</v>
      </c>
      <c r="I556">
        <v>9</v>
      </c>
      <c r="J556">
        <v>871.45</v>
      </c>
      <c r="K556">
        <v>7843.05</v>
      </c>
      <c r="L556" t="s">
        <v>30</v>
      </c>
      <c r="M556" t="s">
        <v>41</v>
      </c>
      <c r="N556" s="1">
        <v>46134</v>
      </c>
      <c r="O556">
        <v>7843.05</v>
      </c>
    </row>
    <row r="557" spans="1:15" x14ac:dyDescent="0.3">
      <c r="A557" t="s">
        <v>603</v>
      </c>
      <c r="B557" s="1">
        <v>45860</v>
      </c>
      <c r="C557" t="s">
        <v>535</v>
      </c>
      <c r="D557" t="s">
        <v>17</v>
      </c>
      <c r="E557" t="s">
        <v>50</v>
      </c>
      <c r="F557" t="s">
        <v>29</v>
      </c>
      <c r="G557" t="s">
        <v>39</v>
      </c>
      <c r="H557" t="s">
        <v>21</v>
      </c>
      <c r="I557">
        <v>11</v>
      </c>
      <c r="J557">
        <v>1541.29</v>
      </c>
      <c r="K557">
        <v>16954.189999999999</v>
      </c>
      <c r="L557" t="s">
        <v>22</v>
      </c>
      <c r="M557" t="s">
        <v>22</v>
      </c>
      <c r="N557" s="1">
        <v>46203</v>
      </c>
      <c r="O557">
        <v>16954.189999999999</v>
      </c>
    </row>
    <row r="558" spans="1:15" x14ac:dyDescent="0.3">
      <c r="A558" t="s">
        <v>604</v>
      </c>
      <c r="B558" s="1">
        <v>45861</v>
      </c>
      <c r="C558" t="s">
        <v>535</v>
      </c>
      <c r="D558" t="s">
        <v>49</v>
      </c>
      <c r="E558" t="s">
        <v>18</v>
      </c>
      <c r="F558" t="s">
        <v>19</v>
      </c>
      <c r="G558" t="s">
        <v>39</v>
      </c>
      <c r="H558" t="s">
        <v>21</v>
      </c>
      <c r="I558">
        <v>11</v>
      </c>
      <c r="J558">
        <v>528.89</v>
      </c>
      <c r="K558">
        <v>5817.79</v>
      </c>
      <c r="L558" t="s">
        <v>22</v>
      </c>
      <c r="M558" t="s">
        <v>22</v>
      </c>
      <c r="N558" s="1">
        <v>46203</v>
      </c>
      <c r="O558">
        <v>5817.79</v>
      </c>
    </row>
    <row r="559" spans="1:15" x14ac:dyDescent="0.3">
      <c r="A559" t="s">
        <v>605</v>
      </c>
      <c r="B559" s="1">
        <v>45862</v>
      </c>
      <c r="C559" t="s">
        <v>535</v>
      </c>
      <c r="D559" t="s">
        <v>24</v>
      </c>
      <c r="E559" t="s">
        <v>18</v>
      </c>
      <c r="F559" t="s">
        <v>19</v>
      </c>
      <c r="G559" t="s">
        <v>39</v>
      </c>
      <c r="H559" t="s">
        <v>21</v>
      </c>
      <c r="I559">
        <v>11</v>
      </c>
      <c r="J559">
        <v>821.89</v>
      </c>
      <c r="K559">
        <v>9040.7900000000009</v>
      </c>
      <c r="L559" t="s">
        <v>22</v>
      </c>
      <c r="M559" t="s">
        <v>22</v>
      </c>
      <c r="N559" s="1">
        <v>46203</v>
      </c>
      <c r="O559">
        <v>9040.7900000000009</v>
      </c>
    </row>
    <row r="560" spans="1:15" x14ac:dyDescent="0.3">
      <c r="A560" t="s">
        <v>606</v>
      </c>
      <c r="B560" s="1">
        <v>45864</v>
      </c>
      <c r="C560" t="s">
        <v>535</v>
      </c>
      <c r="D560" t="s">
        <v>49</v>
      </c>
      <c r="E560" t="s">
        <v>28</v>
      </c>
      <c r="F560" t="s">
        <v>29</v>
      </c>
      <c r="G560" t="s">
        <v>20</v>
      </c>
      <c r="H560" t="s">
        <v>21</v>
      </c>
      <c r="I560">
        <v>11</v>
      </c>
      <c r="J560">
        <v>516.70000000000005</v>
      </c>
      <c r="K560">
        <v>5683.7</v>
      </c>
      <c r="L560" t="s">
        <v>22</v>
      </c>
      <c r="M560" t="s">
        <v>22</v>
      </c>
      <c r="N560" s="1">
        <v>46203</v>
      </c>
      <c r="O560">
        <v>5683.7</v>
      </c>
    </row>
    <row r="561" spans="1:15" x14ac:dyDescent="0.3">
      <c r="A561" t="s">
        <v>607</v>
      </c>
      <c r="B561" s="1">
        <v>45864</v>
      </c>
      <c r="C561" t="s">
        <v>535</v>
      </c>
      <c r="D561" t="s">
        <v>24</v>
      </c>
      <c r="E561" t="s">
        <v>18</v>
      </c>
      <c r="F561" t="s">
        <v>29</v>
      </c>
      <c r="G561" t="s">
        <v>39</v>
      </c>
      <c r="H561" t="s">
        <v>40</v>
      </c>
      <c r="I561">
        <v>11</v>
      </c>
      <c r="J561">
        <v>918.36</v>
      </c>
      <c r="K561">
        <v>10101.959999999999</v>
      </c>
      <c r="L561" t="s">
        <v>22</v>
      </c>
      <c r="M561" t="s">
        <v>22</v>
      </c>
      <c r="N561" s="1">
        <v>46203</v>
      </c>
      <c r="O561">
        <v>10101.959999999999</v>
      </c>
    </row>
    <row r="562" spans="1:15" x14ac:dyDescent="0.3">
      <c r="A562" t="s">
        <v>608</v>
      </c>
      <c r="B562" s="1">
        <v>45864</v>
      </c>
      <c r="C562" t="s">
        <v>535</v>
      </c>
      <c r="D562" t="s">
        <v>17</v>
      </c>
      <c r="E562" t="s">
        <v>28</v>
      </c>
      <c r="F562" t="s">
        <v>33</v>
      </c>
      <c r="G562" t="s">
        <v>39</v>
      </c>
      <c r="H562" t="s">
        <v>21</v>
      </c>
      <c r="I562">
        <v>11</v>
      </c>
      <c r="J562">
        <v>1475.4</v>
      </c>
      <c r="K562">
        <v>16229.4</v>
      </c>
      <c r="L562" t="s">
        <v>22</v>
      </c>
      <c r="M562" t="s">
        <v>22</v>
      </c>
      <c r="N562" s="1">
        <v>46203</v>
      </c>
      <c r="O562">
        <v>16229.4</v>
      </c>
    </row>
    <row r="563" spans="1:15" x14ac:dyDescent="0.3">
      <c r="A563" t="s">
        <v>609</v>
      </c>
      <c r="B563" s="1">
        <v>45864</v>
      </c>
      <c r="C563" t="s">
        <v>535</v>
      </c>
      <c r="D563" t="s">
        <v>24</v>
      </c>
      <c r="E563" t="s">
        <v>50</v>
      </c>
      <c r="F563" t="s">
        <v>19</v>
      </c>
      <c r="G563" t="s">
        <v>26</v>
      </c>
      <c r="H563" t="s">
        <v>45</v>
      </c>
      <c r="I563">
        <v>11</v>
      </c>
      <c r="J563">
        <v>871.61</v>
      </c>
      <c r="K563">
        <v>9587.7099999999991</v>
      </c>
      <c r="L563" t="s">
        <v>22</v>
      </c>
      <c r="M563" t="s">
        <v>22</v>
      </c>
      <c r="N563" s="1">
        <v>46203</v>
      </c>
      <c r="O563">
        <v>9587.7099999999991</v>
      </c>
    </row>
    <row r="564" spans="1:15" x14ac:dyDescent="0.3">
      <c r="A564" t="s">
        <v>610</v>
      </c>
      <c r="B564" s="1">
        <v>45864</v>
      </c>
      <c r="C564" t="s">
        <v>535</v>
      </c>
      <c r="D564" t="s">
        <v>17</v>
      </c>
      <c r="E564" t="s">
        <v>50</v>
      </c>
      <c r="F564" t="s">
        <v>33</v>
      </c>
      <c r="G564" t="s">
        <v>20</v>
      </c>
      <c r="H564" t="s">
        <v>40</v>
      </c>
      <c r="I564">
        <v>11</v>
      </c>
      <c r="J564">
        <v>1604.14</v>
      </c>
      <c r="K564">
        <v>17645.54</v>
      </c>
      <c r="L564" t="s">
        <v>22</v>
      </c>
      <c r="M564" t="s">
        <v>22</v>
      </c>
      <c r="N564" s="1">
        <v>46203</v>
      </c>
      <c r="O564">
        <v>17645.54</v>
      </c>
    </row>
    <row r="565" spans="1:15" x14ac:dyDescent="0.3">
      <c r="A565" t="s">
        <v>611</v>
      </c>
      <c r="B565" s="1">
        <v>45865</v>
      </c>
      <c r="C565" t="s">
        <v>535</v>
      </c>
      <c r="D565" t="s">
        <v>17</v>
      </c>
      <c r="E565" t="s">
        <v>28</v>
      </c>
      <c r="F565" t="s">
        <v>29</v>
      </c>
      <c r="G565" t="s">
        <v>39</v>
      </c>
      <c r="H565" t="s">
        <v>21</v>
      </c>
      <c r="I565">
        <v>11</v>
      </c>
      <c r="J565">
        <v>1421</v>
      </c>
      <c r="K565">
        <v>15631</v>
      </c>
      <c r="L565" t="s">
        <v>22</v>
      </c>
      <c r="M565" t="s">
        <v>22</v>
      </c>
      <c r="N565" s="1">
        <v>46203</v>
      </c>
      <c r="O565">
        <v>15631</v>
      </c>
    </row>
    <row r="566" spans="1:15" x14ac:dyDescent="0.3">
      <c r="A566" t="s">
        <v>612</v>
      </c>
      <c r="B566" s="1">
        <v>45865</v>
      </c>
      <c r="C566" t="s">
        <v>535</v>
      </c>
      <c r="D566" t="s">
        <v>24</v>
      </c>
      <c r="E566" t="s">
        <v>25</v>
      </c>
      <c r="F566" t="s">
        <v>19</v>
      </c>
      <c r="G566" t="s">
        <v>20</v>
      </c>
      <c r="H566" t="s">
        <v>21</v>
      </c>
      <c r="I566">
        <v>4</v>
      </c>
      <c r="J566">
        <v>849.89</v>
      </c>
      <c r="K566">
        <v>3399.56</v>
      </c>
      <c r="L566" t="s">
        <v>30</v>
      </c>
      <c r="M566" t="s">
        <v>31</v>
      </c>
      <c r="N566" s="1">
        <v>45983</v>
      </c>
      <c r="O566">
        <v>3399.56</v>
      </c>
    </row>
    <row r="567" spans="1:15" x14ac:dyDescent="0.3">
      <c r="A567" t="s">
        <v>613</v>
      </c>
      <c r="B567" s="1">
        <v>45866</v>
      </c>
      <c r="C567" t="s">
        <v>535</v>
      </c>
      <c r="D567" t="s">
        <v>24</v>
      </c>
      <c r="E567" t="s">
        <v>25</v>
      </c>
      <c r="F567" t="s">
        <v>29</v>
      </c>
      <c r="G567" t="s">
        <v>39</v>
      </c>
      <c r="H567" t="s">
        <v>40</v>
      </c>
      <c r="I567">
        <v>7</v>
      </c>
      <c r="J567">
        <v>904</v>
      </c>
      <c r="K567">
        <v>6328</v>
      </c>
      <c r="L567" t="s">
        <v>30</v>
      </c>
      <c r="M567" t="s">
        <v>31</v>
      </c>
      <c r="N567" s="1">
        <v>46074</v>
      </c>
      <c r="O567">
        <v>6328</v>
      </c>
    </row>
    <row r="568" spans="1:15" x14ac:dyDescent="0.3">
      <c r="A568" t="s">
        <v>614</v>
      </c>
      <c r="B568" s="1">
        <v>45866</v>
      </c>
      <c r="C568" t="s">
        <v>535</v>
      </c>
      <c r="D568" t="s">
        <v>24</v>
      </c>
      <c r="E568" t="s">
        <v>28</v>
      </c>
      <c r="F568" t="s">
        <v>33</v>
      </c>
      <c r="G568" t="s">
        <v>39</v>
      </c>
      <c r="H568" t="s">
        <v>45</v>
      </c>
      <c r="I568">
        <v>5</v>
      </c>
      <c r="J568">
        <v>861.23</v>
      </c>
      <c r="K568">
        <v>4306.1499999999996</v>
      </c>
      <c r="L568" t="s">
        <v>30</v>
      </c>
      <c r="M568" t="s">
        <v>36</v>
      </c>
      <c r="N568" s="1">
        <v>46032</v>
      </c>
      <c r="O568">
        <v>4306.1499999999996</v>
      </c>
    </row>
    <row r="569" spans="1:15" x14ac:dyDescent="0.3">
      <c r="A569" t="s">
        <v>615</v>
      </c>
      <c r="B569" s="1">
        <v>45866</v>
      </c>
      <c r="C569" t="s">
        <v>535</v>
      </c>
      <c r="D569" t="s">
        <v>24</v>
      </c>
      <c r="E569" t="s">
        <v>28</v>
      </c>
      <c r="F569" t="s">
        <v>29</v>
      </c>
      <c r="G569" t="s">
        <v>39</v>
      </c>
      <c r="H569" t="s">
        <v>40</v>
      </c>
      <c r="I569">
        <v>11</v>
      </c>
      <c r="J569">
        <v>833.64</v>
      </c>
      <c r="K569">
        <v>9170.0400000000009</v>
      </c>
      <c r="L569" t="s">
        <v>22</v>
      </c>
      <c r="M569" t="s">
        <v>22</v>
      </c>
      <c r="N569" s="1">
        <v>46203</v>
      </c>
      <c r="O569">
        <v>9170.0400000000009</v>
      </c>
    </row>
    <row r="570" spans="1:15" x14ac:dyDescent="0.3">
      <c r="A570" t="s">
        <v>616</v>
      </c>
      <c r="B570" s="1">
        <v>45866</v>
      </c>
      <c r="C570" t="s">
        <v>535</v>
      </c>
      <c r="D570" t="s">
        <v>49</v>
      </c>
      <c r="E570" t="s">
        <v>18</v>
      </c>
      <c r="F570" t="s">
        <v>19</v>
      </c>
      <c r="G570" t="s">
        <v>39</v>
      </c>
      <c r="H570" t="s">
        <v>34</v>
      </c>
      <c r="I570">
        <v>11</v>
      </c>
      <c r="J570">
        <v>530.4</v>
      </c>
      <c r="K570">
        <v>5834.4</v>
      </c>
      <c r="L570" t="s">
        <v>22</v>
      </c>
      <c r="M570" t="s">
        <v>22</v>
      </c>
      <c r="N570" s="1">
        <v>46203</v>
      </c>
      <c r="O570">
        <v>5834.4</v>
      </c>
    </row>
    <row r="571" spans="1:15" x14ac:dyDescent="0.3">
      <c r="A571" t="s">
        <v>617</v>
      </c>
      <c r="B571" s="1">
        <v>45866</v>
      </c>
      <c r="C571" t="s">
        <v>535</v>
      </c>
      <c r="D571" t="s">
        <v>17</v>
      </c>
      <c r="E571" t="s">
        <v>25</v>
      </c>
      <c r="F571" t="s">
        <v>51</v>
      </c>
      <c r="G571" t="s">
        <v>39</v>
      </c>
      <c r="H571" t="s">
        <v>40</v>
      </c>
      <c r="I571">
        <v>11</v>
      </c>
      <c r="J571">
        <v>1476.1</v>
      </c>
      <c r="K571">
        <v>16237.1</v>
      </c>
      <c r="L571" t="s">
        <v>22</v>
      </c>
      <c r="M571" t="s">
        <v>22</v>
      </c>
      <c r="N571" s="1">
        <v>46203</v>
      </c>
      <c r="O571">
        <v>16237.1</v>
      </c>
    </row>
    <row r="572" spans="1:15" x14ac:dyDescent="0.3">
      <c r="A572" t="s">
        <v>618</v>
      </c>
      <c r="B572" s="1">
        <v>45867</v>
      </c>
      <c r="C572" t="s">
        <v>535</v>
      </c>
      <c r="D572" t="s">
        <v>24</v>
      </c>
      <c r="E572" t="s">
        <v>25</v>
      </c>
      <c r="F572" t="s">
        <v>29</v>
      </c>
      <c r="G572" t="s">
        <v>20</v>
      </c>
      <c r="H572" t="s">
        <v>21</v>
      </c>
      <c r="I572">
        <v>11</v>
      </c>
      <c r="J572">
        <v>819.7</v>
      </c>
      <c r="K572">
        <v>9016.7000000000007</v>
      </c>
      <c r="L572" t="s">
        <v>22</v>
      </c>
      <c r="M572" t="s">
        <v>22</v>
      </c>
      <c r="N572" s="1">
        <v>46203</v>
      </c>
      <c r="O572">
        <v>9016.7000000000007</v>
      </c>
    </row>
    <row r="573" spans="1:15" x14ac:dyDescent="0.3">
      <c r="A573" t="s">
        <v>619</v>
      </c>
      <c r="B573" s="1">
        <v>45868</v>
      </c>
      <c r="C573" t="s">
        <v>535</v>
      </c>
      <c r="D573" t="s">
        <v>24</v>
      </c>
      <c r="E573" t="s">
        <v>25</v>
      </c>
      <c r="F573" t="s">
        <v>51</v>
      </c>
      <c r="G573" t="s">
        <v>39</v>
      </c>
      <c r="H573" t="s">
        <v>40</v>
      </c>
      <c r="I573">
        <v>6</v>
      </c>
      <c r="J573">
        <v>987.84</v>
      </c>
      <c r="K573">
        <v>5927.04</v>
      </c>
      <c r="L573" t="s">
        <v>30</v>
      </c>
      <c r="M573" t="s">
        <v>36</v>
      </c>
      <c r="N573" s="1">
        <v>46050</v>
      </c>
      <c r="O573">
        <v>5927.04</v>
      </c>
    </row>
    <row r="574" spans="1:15" x14ac:dyDescent="0.3">
      <c r="A574" t="s">
        <v>620</v>
      </c>
      <c r="B574" s="1">
        <v>45868</v>
      </c>
      <c r="C574" t="s">
        <v>535</v>
      </c>
      <c r="D574" t="s">
        <v>24</v>
      </c>
      <c r="E574" t="s">
        <v>18</v>
      </c>
      <c r="F574" t="s">
        <v>38</v>
      </c>
      <c r="G574" t="s">
        <v>39</v>
      </c>
      <c r="H574" t="s">
        <v>40</v>
      </c>
      <c r="I574">
        <v>11</v>
      </c>
      <c r="J574">
        <v>833.64</v>
      </c>
      <c r="K574">
        <v>9170.0400000000009</v>
      </c>
      <c r="L574" t="s">
        <v>22</v>
      </c>
      <c r="M574" t="s">
        <v>22</v>
      </c>
      <c r="N574" s="1">
        <v>46203</v>
      </c>
      <c r="O574">
        <v>9170.0400000000009</v>
      </c>
    </row>
    <row r="575" spans="1:15" x14ac:dyDescent="0.3">
      <c r="A575" t="s">
        <v>621</v>
      </c>
      <c r="B575" s="1">
        <v>45869</v>
      </c>
      <c r="C575" t="s">
        <v>535</v>
      </c>
      <c r="D575" t="s">
        <v>49</v>
      </c>
      <c r="E575" t="s">
        <v>25</v>
      </c>
      <c r="F575" t="s">
        <v>33</v>
      </c>
      <c r="G575" t="s">
        <v>39</v>
      </c>
      <c r="H575" t="s">
        <v>34</v>
      </c>
      <c r="I575">
        <v>11</v>
      </c>
      <c r="J575">
        <v>455.59</v>
      </c>
      <c r="K575">
        <v>5011.49</v>
      </c>
      <c r="L575" t="s">
        <v>22</v>
      </c>
      <c r="M575" t="s">
        <v>22</v>
      </c>
      <c r="N575" s="1">
        <v>46203</v>
      </c>
      <c r="O575">
        <v>5011.49</v>
      </c>
    </row>
    <row r="576" spans="1:15" x14ac:dyDescent="0.3">
      <c r="A576" t="s">
        <v>622</v>
      </c>
      <c r="B576" s="1">
        <v>45869</v>
      </c>
      <c r="C576" t="s">
        <v>535</v>
      </c>
      <c r="D576" t="s">
        <v>24</v>
      </c>
      <c r="E576" t="s">
        <v>28</v>
      </c>
      <c r="F576" t="s">
        <v>38</v>
      </c>
      <c r="G576" t="s">
        <v>39</v>
      </c>
      <c r="H576" t="s">
        <v>21</v>
      </c>
      <c r="I576">
        <v>10</v>
      </c>
      <c r="J576">
        <v>936.18</v>
      </c>
      <c r="K576">
        <v>9361.7999999999993</v>
      </c>
      <c r="L576" t="s">
        <v>30</v>
      </c>
      <c r="M576" t="s">
        <v>36</v>
      </c>
      <c r="N576" s="1">
        <v>46159</v>
      </c>
      <c r="O576">
        <v>9361.7999999999993</v>
      </c>
    </row>
    <row r="577" spans="1:15" x14ac:dyDescent="0.3">
      <c r="A577" t="s">
        <v>623</v>
      </c>
      <c r="B577" s="1">
        <v>45869</v>
      </c>
      <c r="C577" t="s">
        <v>535</v>
      </c>
      <c r="D577" t="s">
        <v>49</v>
      </c>
      <c r="E577" t="s">
        <v>50</v>
      </c>
      <c r="F577" t="s">
        <v>33</v>
      </c>
      <c r="G577" t="s">
        <v>39</v>
      </c>
      <c r="H577" t="s">
        <v>21</v>
      </c>
      <c r="I577">
        <v>11</v>
      </c>
      <c r="J577">
        <v>481.29</v>
      </c>
      <c r="K577">
        <v>5294.19</v>
      </c>
      <c r="L577" t="s">
        <v>30</v>
      </c>
      <c r="M577" t="s">
        <v>36</v>
      </c>
      <c r="N577" s="1">
        <v>46203</v>
      </c>
      <c r="O577">
        <v>5294.19</v>
      </c>
    </row>
    <row r="578" spans="1:15" x14ac:dyDescent="0.3">
      <c r="A578" t="s">
        <v>624</v>
      </c>
      <c r="B578" s="1">
        <v>45870</v>
      </c>
      <c r="C578" t="s">
        <v>625</v>
      </c>
      <c r="D578" t="s">
        <v>24</v>
      </c>
      <c r="E578" t="s">
        <v>25</v>
      </c>
      <c r="F578" t="s">
        <v>19</v>
      </c>
      <c r="G578" t="s">
        <v>26</v>
      </c>
      <c r="H578" t="s">
        <v>45</v>
      </c>
      <c r="I578">
        <v>11</v>
      </c>
      <c r="J578">
        <v>863.46</v>
      </c>
      <c r="K578">
        <v>9498.06</v>
      </c>
      <c r="L578" t="s">
        <v>22</v>
      </c>
      <c r="M578" t="s">
        <v>22</v>
      </c>
      <c r="N578" s="1">
        <v>46203</v>
      </c>
      <c r="O578">
        <v>9498.06</v>
      </c>
    </row>
    <row r="579" spans="1:15" x14ac:dyDescent="0.3">
      <c r="A579" t="s">
        <v>626</v>
      </c>
      <c r="B579" s="1">
        <v>45870</v>
      </c>
      <c r="C579" t="s">
        <v>625</v>
      </c>
      <c r="D579" t="s">
        <v>49</v>
      </c>
      <c r="E579" t="s">
        <v>25</v>
      </c>
      <c r="F579" t="s">
        <v>51</v>
      </c>
      <c r="G579" t="s">
        <v>20</v>
      </c>
      <c r="H579" t="s">
        <v>21</v>
      </c>
      <c r="I579">
        <v>11</v>
      </c>
      <c r="J579">
        <v>490.35</v>
      </c>
      <c r="K579">
        <v>5393.85</v>
      </c>
      <c r="L579" t="s">
        <v>22</v>
      </c>
      <c r="M579" t="s">
        <v>22</v>
      </c>
      <c r="N579" s="1">
        <v>46203</v>
      </c>
      <c r="O579">
        <v>5393.85</v>
      </c>
    </row>
    <row r="580" spans="1:15" x14ac:dyDescent="0.3">
      <c r="A580" t="s">
        <v>627</v>
      </c>
      <c r="B580" s="1">
        <v>45871</v>
      </c>
      <c r="C580" t="s">
        <v>625</v>
      </c>
      <c r="D580" t="s">
        <v>49</v>
      </c>
      <c r="E580" t="s">
        <v>25</v>
      </c>
      <c r="F580" t="s">
        <v>38</v>
      </c>
      <c r="G580" t="s">
        <v>39</v>
      </c>
      <c r="H580" t="s">
        <v>21</v>
      </c>
      <c r="I580">
        <v>11</v>
      </c>
      <c r="J580">
        <v>513.01</v>
      </c>
      <c r="K580">
        <v>5643.11</v>
      </c>
      <c r="L580" t="s">
        <v>22</v>
      </c>
      <c r="M580" t="s">
        <v>22</v>
      </c>
      <c r="N580" s="1">
        <v>46203</v>
      </c>
      <c r="O580">
        <v>5643.11</v>
      </c>
    </row>
    <row r="581" spans="1:15" x14ac:dyDescent="0.3">
      <c r="A581" t="s">
        <v>628</v>
      </c>
      <c r="B581" s="1">
        <v>45872</v>
      </c>
      <c r="C581" t="s">
        <v>625</v>
      </c>
      <c r="D581" t="s">
        <v>24</v>
      </c>
      <c r="E581" t="s">
        <v>50</v>
      </c>
      <c r="F581" t="s">
        <v>19</v>
      </c>
      <c r="G581" t="s">
        <v>39</v>
      </c>
      <c r="H581" t="s">
        <v>45</v>
      </c>
      <c r="I581">
        <v>1</v>
      </c>
      <c r="J581">
        <v>818.66</v>
      </c>
      <c r="K581">
        <v>818.66</v>
      </c>
      <c r="L581" t="s">
        <v>30</v>
      </c>
      <c r="M581" t="s">
        <v>80</v>
      </c>
      <c r="N581" s="1">
        <v>45913</v>
      </c>
      <c r="O581">
        <v>818.66</v>
      </c>
    </row>
    <row r="582" spans="1:15" x14ac:dyDescent="0.3">
      <c r="A582" t="s">
        <v>629</v>
      </c>
      <c r="B582" s="1">
        <v>45872</v>
      </c>
      <c r="C582" t="s">
        <v>625</v>
      </c>
      <c r="D582" t="s">
        <v>24</v>
      </c>
      <c r="E582" t="s">
        <v>18</v>
      </c>
      <c r="F582" t="s">
        <v>19</v>
      </c>
      <c r="G582" t="s">
        <v>20</v>
      </c>
      <c r="H582" t="s">
        <v>45</v>
      </c>
      <c r="I582">
        <v>11</v>
      </c>
      <c r="J582">
        <v>984.23</v>
      </c>
      <c r="K582">
        <v>10826.53</v>
      </c>
      <c r="L582" t="s">
        <v>22</v>
      </c>
      <c r="M582" t="s">
        <v>22</v>
      </c>
      <c r="N582" s="1">
        <v>46203</v>
      </c>
      <c r="O582">
        <v>10826.53</v>
      </c>
    </row>
    <row r="583" spans="1:15" x14ac:dyDescent="0.3">
      <c r="A583" t="s">
        <v>630</v>
      </c>
      <c r="B583" s="1">
        <v>45872</v>
      </c>
      <c r="C583" t="s">
        <v>625</v>
      </c>
      <c r="D583" t="s">
        <v>24</v>
      </c>
      <c r="E583" t="s">
        <v>18</v>
      </c>
      <c r="F583" t="s">
        <v>38</v>
      </c>
      <c r="G583" t="s">
        <v>39</v>
      </c>
      <c r="H583" t="s">
        <v>34</v>
      </c>
      <c r="I583">
        <v>4</v>
      </c>
      <c r="J583">
        <v>962.89</v>
      </c>
      <c r="K583">
        <v>3851.56</v>
      </c>
      <c r="L583" t="s">
        <v>30</v>
      </c>
      <c r="M583" t="s">
        <v>41</v>
      </c>
      <c r="N583" s="1">
        <v>45996</v>
      </c>
      <c r="O583">
        <v>3851.56</v>
      </c>
    </row>
    <row r="584" spans="1:15" x14ac:dyDescent="0.3">
      <c r="A584" t="s">
        <v>631</v>
      </c>
      <c r="B584" s="1">
        <v>45872</v>
      </c>
      <c r="C584" t="s">
        <v>625</v>
      </c>
      <c r="D584" t="s">
        <v>17</v>
      </c>
      <c r="E584" t="s">
        <v>25</v>
      </c>
      <c r="F584" t="s">
        <v>19</v>
      </c>
      <c r="G584" t="s">
        <v>39</v>
      </c>
      <c r="H584" t="s">
        <v>21</v>
      </c>
      <c r="I584">
        <v>11</v>
      </c>
      <c r="J584">
        <v>1517.21</v>
      </c>
      <c r="K584">
        <v>16689.310000000001</v>
      </c>
      <c r="L584" t="s">
        <v>22</v>
      </c>
      <c r="M584" t="s">
        <v>22</v>
      </c>
      <c r="N584" s="1">
        <v>46203</v>
      </c>
      <c r="O584">
        <v>16689.310000000001</v>
      </c>
    </row>
    <row r="585" spans="1:15" x14ac:dyDescent="0.3">
      <c r="A585" t="s">
        <v>632</v>
      </c>
      <c r="B585" s="1">
        <v>45873</v>
      </c>
      <c r="C585" t="s">
        <v>625</v>
      </c>
      <c r="D585" t="s">
        <v>24</v>
      </c>
      <c r="E585" t="s">
        <v>28</v>
      </c>
      <c r="F585" t="s">
        <v>29</v>
      </c>
      <c r="G585" t="s">
        <v>39</v>
      </c>
      <c r="H585" t="s">
        <v>21</v>
      </c>
      <c r="I585">
        <v>11</v>
      </c>
      <c r="J585">
        <v>945.28</v>
      </c>
      <c r="K585">
        <v>10398.08</v>
      </c>
      <c r="L585" t="s">
        <v>22</v>
      </c>
      <c r="M585" t="s">
        <v>22</v>
      </c>
      <c r="N585" s="1">
        <v>46203</v>
      </c>
      <c r="O585">
        <v>10398.08</v>
      </c>
    </row>
    <row r="586" spans="1:15" x14ac:dyDescent="0.3">
      <c r="A586" t="s">
        <v>633</v>
      </c>
      <c r="B586" s="1">
        <v>45873</v>
      </c>
      <c r="C586" t="s">
        <v>625</v>
      </c>
      <c r="D586" t="s">
        <v>24</v>
      </c>
      <c r="E586" t="s">
        <v>18</v>
      </c>
      <c r="F586" t="s">
        <v>51</v>
      </c>
      <c r="G586" t="s">
        <v>20</v>
      </c>
      <c r="H586" t="s">
        <v>34</v>
      </c>
      <c r="I586">
        <v>11</v>
      </c>
      <c r="J586">
        <v>943.28</v>
      </c>
      <c r="K586">
        <v>10376.08</v>
      </c>
      <c r="L586" t="s">
        <v>22</v>
      </c>
      <c r="M586" t="s">
        <v>22</v>
      </c>
      <c r="N586" s="1">
        <v>46203</v>
      </c>
      <c r="O586">
        <v>10376.08</v>
      </c>
    </row>
    <row r="587" spans="1:15" x14ac:dyDescent="0.3">
      <c r="A587" t="s">
        <v>634</v>
      </c>
      <c r="B587" s="1">
        <v>45873</v>
      </c>
      <c r="C587" t="s">
        <v>625</v>
      </c>
      <c r="D587" t="s">
        <v>24</v>
      </c>
      <c r="E587" t="s">
        <v>28</v>
      </c>
      <c r="F587" t="s">
        <v>19</v>
      </c>
      <c r="G587" t="s">
        <v>39</v>
      </c>
      <c r="H587" t="s">
        <v>34</v>
      </c>
      <c r="I587">
        <v>11</v>
      </c>
      <c r="J587">
        <v>826.37</v>
      </c>
      <c r="K587">
        <v>9090.07</v>
      </c>
      <c r="L587" t="s">
        <v>22</v>
      </c>
      <c r="M587" t="s">
        <v>22</v>
      </c>
      <c r="N587" s="1">
        <v>46203</v>
      </c>
      <c r="O587">
        <v>9090.07</v>
      </c>
    </row>
    <row r="588" spans="1:15" x14ac:dyDescent="0.3">
      <c r="A588" t="s">
        <v>635</v>
      </c>
      <c r="B588" s="1">
        <v>45873</v>
      </c>
      <c r="C588" t="s">
        <v>625</v>
      </c>
      <c r="D588" t="s">
        <v>24</v>
      </c>
      <c r="E588" t="s">
        <v>28</v>
      </c>
      <c r="F588" t="s">
        <v>33</v>
      </c>
      <c r="G588" t="s">
        <v>20</v>
      </c>
      <c r="H588" t="s">
        <v>21</v>
      </c>
      <c r="I588">
        <v>11</v>
      </c>
      <c r="J588">
        <v>835.84</v>
      </c>
      <c r="K588">
        <v>9194.24</v>
      </c>
      <c r="L588" t="s">
        <v>22</v>
      </c>
      <c r="M588" t="s">
        <v>22</v>
      </c>
      <c r="N588" s="1">
        <v>46203</v>
      </c>
      <c r="O588">
        <v>9194.24</v>
      </c>
    </row>
    <row r="589" spans="1:15" x14ac:dyDescent="0.3">
      <c r="A589" t="s">
        <v>636</v>
      </c>
      <c r="B589" s="1">
        <v>45874</v>
      </c>
      <c r="C589" t="s">
        <v>625</v>
      </c>
      <c r="D589" t="s">
        <v>17</v>
      </c>
      <c r="E589" t="s">
        <v>28</v>
      </c>
      <c r="F589" t="s">
        <v>38</v>
      </c>
      <c r="G589" t="s">
        <v>39</v>
      </c>
      <c r="H589" t="s">
        <v>40</v>
      </c>
      <c r="I589">
        <v>11</v>
      </c>
      <c r="J589">
        <v>1427.81</v>
      </c>
      <c r="K589">
        <v>15705.91</v>
      </c>
      <c r="L589" t="s">
        <v>22</v>
      </c>
      <c r="M589" t="s">
        <v>22</v>
      </c>
      <c r="N589" s="1">
        <v>46203</v>
      </c>
      <c r="O589">
        <v>15705.91</v>
      </c>
    </row>
    <row r="590" spans="1:15" x14ac:dyDescent="0.3">
      <c r="A590" t="s">
        <v>637</v>
      </c>
      <c r="B590" s="1">
        <v>45874</v>
      </c>
      <c r="C590" t="s">
        <v>625</v>
      </c>
      <c r="D590" t="s">
        <v>49</v>
      </c>
      <c r="E590" t="s">
        <v>28</v>
      </c>
      <c r="F590" t="s">
        <v>29</v>
      </c>
      <c r="G590" t="s">
        <v>39</v>
      </c>
      <c r="H590" t="s">
        <v>34</v>
      </c>
      <c r="I590">
        <v>11</v>
      </c>
      <c r="J590">
        <v>502.42</v>
      </c>
      <c r="K590">
        <v>5526.62</v>
      </c>
      <c r="L590" t="s">
        <v>22</v>
      </c>
      <c r="M590" t="s">
        <v>22</v>
      </c>
      <c r="N590" s="1">
        <v>46203</v>
      </c>
      <c r="O590">
        <v>5526.62</v>
      </c>
    </row>
    <row r="591" spans="1:15" x14ac:dyDescent="0.3">
      <c r="A591" t="s">
        <v>638</v>
      </c>
      <c r="B591" s="1">
        <v>45874</v>
      </c>
      <c r="C591" t="s">
        <v>625</v>
      </c>
      <c r="D591" t="s">
        <v>24</v>
      </c>
      <c r="E591" t="s">
        <v>25</v>
      </c>
      <c r="F591" t="s">
        <v>29</v>
      </c>
      <c r="G591" t="s">
        <v>20</v>
      </c>
      <c r="H591" t="s">
        <v>40</v>
      </c>
      <c r="I591">
        <v>11</v>
      </c>
      <c r="J591">
        <v>979.69</v>
      </c>
      <c r="K591">
        <v>10776.59</v>
      </c>
      <c r="L591" t="s">
        <v>22</v>
      </c>
      <c r="M591" t="s">
        <v>22</v>
      </c>
      <c r="N591" s="1">
        <v>46203</v>
      </c>
      <c r="O591">
        <v>10776.59</v>
      </c>
    </row>
    <row r="592" spans="1:15" x14ac:dyDescent="0.3">
      <c r="A592" t="s">
        <v>639</v>
      </c>
      <c r="B592" s="1">
        <v>45875</v>
      </c>
      <c r="C592" t="s">
        <v>625</v>
      </c>
      <c r="D592" t="s">
        <v>17</v>
      </c>
      <c r="E592" t="s">
        <v>50</v>
      </c>
      <c r="F592" t="s">
        <v>19</v>
      </c>
      <c r="G592" t="s">
        <v>39</v>
      </c>
      <c r="H592" t="s">
        <v>21</v>
      </c>
      <c r="I592">
        <v>11</v>
      </c>
      <c r="J592">
        <v>1478.08</v>
      </c>
      <c r="K592">
        <v>16258.88</v>
      </c>
      <c r="L592" t="s">
        <v>22</v>
      </c>
      <c r="M592" t="s">
        <v>22</v>
      </c>
      <c r="N592" s="1">
        <v>46203</v>
      </c>
      <c r="O592">
        <v>16258.88</v>
      </c>
    </row>
    <row r="593" spans="1:15" x14ac:dyDescent="0.3">
      <c r="A593" t="s">
        <v>640</v>
      </c>
      <c r="B593" s="1">
        <v>45875</v>
      </c>
      <c r="C593" t="s">
        <v>625</v>
      </c>
      <c r="D593" t="s">
        <v>49</v>
      </c>
      <c r="E593" t="s">
        <v>18</v>
      </c>
      <c r="F593" t="s">
        <v>29</v>
      </c>
      <c r="G593" t="s">
        <v>39</v>
      </c>
      <c r="H593" t="s">
        <v>21</v>
      </c>
      <c r="I593">
        <v>9</v>
      </c>
      <c r="J593">
        <v>477.69</v>
      </c>
      <c r="K593">
        <v>4299.21</v>
      </c>
      <c r="L593" t="s">
        <v>30</v>
      </c>
      <c r="M593" t="s">
        <v>31</v>
      </c>
      <c r="N593" s="1">
        <v>46142</v>
      </c>
      <c r="O593">
        <v>4299.21</v>
      </c>
    </row>
    <row r="594" spans="1:15" x14ac:dyDescent="0.3">
      <c r="A594" t="s">
        <v>641</v>
      </c>
      <c r="B594" s="1">
        <v>45876</v>
      </c>
      <c r="C594" t="s">
        <v>625</v>
      </c>
      <c r="D594" t="s">
        <v>24</v>
      </c>
      <c r="E594" t="s">
        <v>25</v>
      </c>
      <c r="F594" t="s">
        <v>38</v>
      </c>
      <c r="G594" t="s">
        <v>39</v>
      </c>
      <c r="H594" t="s">
        <v>21</v>
      </c>
      <c r="I594">
        <v>6</v>
      </c>
      <c r="J594">
        <v>875.38</v>
      </c>
      <c r="K594">
        <v>5252.28</v>
      </c>
      <c r="L594" t="s">
        <v>30</v>
      </c>
      <c r="M594" t="s">
        <v>31</v>
      </c>
      <c r="N594" s="1">
        <v>46062</v>
      </c>
      <c r="O594">
        <v>5252.28</v>
      </c>
    </row>
    <row r="595" spans="1:15" x14ac:dyDescent="0.3">
      <c r="A595" t="s">
        <v>642</v>
      </c>
      <c r="B595" s="1">
        <v>45876</v>
      </c>
      <c r="C595" t="s">
        <v>625</v>
      </c>
      <c r="D595" t="s">
        <v>49</v>
      </c>
      <c r="E595" t="s">
        <v>25</v>
      </c>
      <c r="F595" t="s">
        <v>19</v>
      </c>
      <c r="G595" t="s">
        <v>39</v>
      </c>
      <c r="H595" t="s">
        <v>21</v>
      </c>
      <c r="I595">
        <v>10</v>
      </c>
      <c r="J595">
        <v>533.66999999999996</v>
      </c>
      <c r="K595">
        <v>5336.7</v>
      </c>
      <c r="L595" t="s">
        <v>30</v>
      </c>
      <c r="M595" t="s">
        <v>43</v>
      </c>
      <c r="N595" s="1">
        <v>46178</v>
      </c>
      <c r="O595">
        <v>5336.7</v>
      </c>
    </row>
    <row r="596" spans="1:15" x14ac:dyDescent="0.3">
      <c r="A596" t="s">
        <v>643</v>
      </c>
      <c r="B596" s="1">
        <v>45876</v>
      </c>
      <c r="C596" t="s">
        <v>625</v>
      </c>
      <c r="D596" t="s">
        <v>49</v>
      </c>
      <c r="E596" t="s">
        <v>25</v>
      </c>
      <c r="F596" t="s">
        <v>29</v>
      </c>
      <c r="G596" t="s">
        <v>20</v>
      </c>
      <c r="H596" t="s">
        <v>21</v>
      </c>
      <c r="I596">
        <v>7</v>
      </c>
      <c r="J596">
        <v>492.65</v>
      </c>
      <c r="K596">
        <v>3448.55</v>
      </c>
      <c r="L596" t="s">
        <v>30</v>
      </c>
      <c r="M596" t="s">
        <v>43</v>
      </c>
      <c r="N596" s="1">
        <v>46102</v>
      </c>
      <c r="O596">
        <v>3448.55</v>
      </c>
    </row>
    <row r="597" spans="1:15" x14ac:dyDescent="0.3">
      <c r="A597" t="s">
        <v>644</v>
      </c>
      <c r="B597" s="1">
        <v>45876</v>
      </c>
      <c r="C597" t="s">
        <v>625</v>
      </c>
      <c r="D597" t="s">
        <v>49</v>
      </c>
      <c r="E597" t="s">
        <v>50</v>
      </c>
      <c r="F597" t="s">
        <v>19</v>
      </c>
      <c r="G597" t="s">
        <v>20</v>
      </c>
      <c r="H597" t="s">
        <v>40</v>
      </c>
      <c r="I597">
        <v>11</v>
      </c>
      <c r="J597">
        <v>538.08000000000004</v>
      </c>
      <c r="K597">
        <v>5918.88</v>
      </c>
      <c r="L597" t="s">
        <v>22</v>
      </c>
      <c r="M597" t="s">
        <v>22</v>
      </c>
      <c r="N597" s="1">
        <v>46203</v>
      </c>
      <c r="O597">
        <v>5918.88</v>
      </c>
    </row>
    <row r="598" spans="1:15" x14ac:dyDescent="0.3">
      <c r="A598" t="s">
        <v>645</v>
      </c>
      <c r="B598" s="1">
        <v>45877</v>
      </c>
      <c r="C598" t="s">
        <v>625</v>
      </c>
      <c r="D598" t="s">
        <v>24</v>
      </c>
      <c r="E598" t="s">
        <v>18</v>
      </c>
      <c r="F598" t="s">
        <v>19</v>
      </c>
      <c r="G598" t="s">
        <v>39</v>
      </c>
      <c r="H598" t="s">
        <v>34</v>
      </c>
      <c r="I598">
        <v>4</v>
      </c>
      <c r="J598">
        <v>853.96</v>
      </c>
      <c r="K598">
        <v>3415.84</v>
      </c>
      <c r="L598" t="s">
        <v>30</v>
      </c>
      <c r="M598" t="s">
        <v>31</v>
      </c>
      <c r="N598" s="1">
        <v>46004</v>
      </c>
      <c r="O598">
        <v>3415.84</v>
      </c>
    </row>
    <row r="599" spans="1:15" x14ac:dyDescent="0.3">
      <c r="A599" t="s">
        <v>646</v>
      </c>
      <c r="B599" s="1">
        <v>45878</v>
      </c>
      <c r="C599" t="s">
        <v>625</v>
      </c>
      <c r="D599" t="s">
        <v>49</v>
      </c>
      <c r="E599" t="s">
        <v>25</v>
      </c>
      <c r="F599" t="s">
        <v>19</v>
      </c>
      <c r="G599" t="s">
        <v>39</v>
      </c>
      <c r="H599" t="s">
        <v>21</v>
      </c>
      <c r="I599">
        <v>11</v>
      </c>
      <c r="J599">
        <v>539.71</v>
      </c>
      <c r="K599">
        <v>5936.81</v>
      </c>
      <c r="L599" t="s">
        <v>22</v>
      </c>
      <c r="M599" t="s">
        <v>22</v>
      </c>
      <c r="N599" s="1">
        <v>46203</v>
      </c>
      <c r="O599">
        <v>5936.81</v>
      </c>
    </row>
    <row r="600" spans="1:15" x14ac:dyDescent="0.3">
      <c r="A600" t="s">
        <v>647</v>
      </c>
      <c r="B600" s="1">
        <v>45878</v>
      </c>
      <c r="C600" t="s">
        <v>625</v>
      </c>
      <c r="D600" t="s">
        <v>24</v>
      </c>
      <c r="E600" t="s">
        <v>25</v>
      </c>
      <c r="F600" t="s">
        <v>29</v>
      </c>
      <c r="G600" t="s">
        <v>26</v>
      </c>
      <c r="H600" t="s">
        <v>40</v>
      </c>
      <c r="I600">
        <v>11</v>
      </c>
      <c r="J600">
        <v>821.02</v>
      </c>
      <c r="K600">
        <v>9031.2199999999993</v>
      </c>
      <c r="L600" t="s">
        <v>22</v>
      </c>
      <c r="M600" t="s">
        <v>22</v>
      </c>
      <c r="N600" s="1">
        <v>46203</v>
      </c>
      <c r="O600">
        <v>9031.2199999999993</v>
      </c>
    </row>
    <row r="601" spans="1:15" x14ac:dyDescent="0.3">
      <c r="A601" t="s">
        <v>648</v>
      </c>
      <c r="B601" s="1">
        <v>45878</v>
      </c>
      <c r="C601" t="s">
        <v>625</v>
      </c>
      <c r="D601" t="s">
        <v>24</v>
      </c>
      <c r="E601" t="s">
        <v>28</v>
      </c>
      <c r="F601" t="s">
        <v>29</v>
      </c>
      <c r="G601" t="s">
        <v>20</v>
      </c>
      <c r="H601" t="s">
        <v>21</v>
      </c>
      <c r="I601">
        <v>6</v>
      </c>
      <c r="J601">
        <v>856.31</v>
      </c>
      <c r="K601">
        <v>5137.8599999999997</v>
      </c>
      <c r="L601" t="s">
        <v>30</v>
      </c>
      <c r="M601" t="s">
        <v>43</v>
      </c>
      <c r="N601" s="1">
        <v>46070</v>
      </c>
      <c r="O601">
        <v>5137.8599999999997</v>
      </c>
    </row>
    <row r="602" spans="1:15" x14ac:dyDescent="0.3">
      <c r="A602" t="s">
        <v>649</v>
      </c>
      <c r="B602" s="1">
        <v>45879</v>
      </c>
      <c r="C602" t="s">
        <v>625</v>
      </c>
      <c r="D602" t="s">
        <v>49</v>
      </c>
      <c r="E602" t="s">
        <v>25</v>
      </c>
      <c r="F602" t="s">
        <v>38</v>
      </c>
      <c r="G602" t="s">
        <v>39</v>
      </c>
      <c r="H602" t="s">
        <v>34</v>
      </c>
      <c r="I602">
        <v>11</v>
      </c>
      <c r="J602">
        <v>502.44</v>
      </c>
      <c r="K602">
        <v>5526.84</v>
      </c>
      <c r="L602" t="s">
        <v>22</v>
      </c>
      <c r="M602" t="s">
        <v>22</v>
      </c>
      <c r="N602" s="1">
        <v>46203</v>
      </c>
      <c r="O602">
        <v>5526.84</v>
      </c>
    </row>
    <row r="603" spans="1:15" x14ac:dyDescent="0.3">
      <c r="A603" t="s">
        <v>650</v>
      </c>
      <c r="B603" s="1">
        <v>45879</v>
      </c>
      <c r="C603" t="s">
        <v>625</v>
      </c>
      <c r="D603" t="s">
        <v>49</v>
      </c>
      <c r="E603" t="s">
        <v>25</v>
      </c>
      <c r="F603" t="s">
        <v>29</v>
      </c>
      <c r="G603" t="s">
        <v>20</v>
      </c>
      <c r="H603" t="s">
        <v>21</v>
      </c>
      <c r="I603">
        <v>10</v>
      </c>
      <c r="J603">
        <v>517.84</v>
      </c>
      <c r="K603">
        <v>5178.3999999999996</v>
      </c>
      <c r="L603" t="s">
        <v>30</v>
      </c>
      <c r="M603" t="s">
        <v>43</v>
      </c>
      <c r="N603" s="1">
        <v>46193</v>
      </c>
      <c r="O603">
        <v>5178.3999999999996</v>
      </c>
    </row>
    <row r="604" spans="1:15" x14ac:dyDescent="0.3">
      <c r="A604" t="s">
        <v>651</v>
      </c>
      <c r="B604" s="1">
        <v>45879</v>
      </c>
      <c r="C604" t="s">
        <v>625</v>
      </c>
      <c r="D604" t="s">
        <v>24</v>
      </c>
      <c r="E604" t="s">
        <v>25</v>
      </c>
      <c r="F604" t="s">
        <v>19</v>
      </c>
      <c r="G604" t="s">
        <v>26</v>
      </c>
      <c r="H604" t="s">
        <v>21</v>
      </c>
      <c r="I604">
        <v>5</v>
      </c>
      <c r="J604">
        <v>895.99</v>
      </c>
      <c r="K604">
        <v>4479.95</v>
      </c>
      <c r="L604" t="s">
        <v>30</v>
      </c>
      <c r="M604" t="s">
        <v>80</v>
      </c>
      <c r="N604" s="1">
        <v>46034</v>
      </c>
      <c r="O604">
        <v>4479.95</v>
      </c>
    </row>
    <row r="605" spans="1:15" x14ac:dyDescent="0.3">
      <c r="A605" t="s">
        <v>652</v>
      </c>
      <c r="B605" s="1">
        <v>45881</v>
      </c>
      <c r="C605" t="s">
        <v>625</v>
      </c>
      <c r="D605" t="s">
        <v>49</v>
      </c>
      <c r="E605" t="s">
        <v>28</v>
      </c>
      <c r="F605" t="s">
        <v>38</v>
      </c>
      <c r="G605" t="s">
        <v>39</v>
      </c>
      <c r="H605" t="s">
        <v>40</v>
      </c>
      <c r="I605">
        <v>11</v>
      </c>
      <c r="J605">
        <v>523.62</v>
      </c>
      <c r="K605">
        <v>5759.82</v>
      </c>
      <c r="L605" t="s">
        <v>22</v>
      </c>
      <c r="M605" t="s">
        <v>22</v>
      </c>
      <c r="N605" s="1">
        <v>46203</v>
      </c>
      <c r="O605">
        <v>5759.82</v>
      </c>
    </row>
    <row r="606" spans="1:15" x14ac:dyDescent="0.3">
      <c r="A606" t="s">
        <v>653</v>
      </c>
      <c r="B606" s="1">
        <v>45881</v>
      </c>
      <c r="C606" t="s">
        <v>625</v>
      </c>
      <c r="D606" t="s">
        <v>49</v>
      </c>
      <c r="E606" t="s">
        <v>50</v>
      </c>
      <c r="F606" t="s">
        <v>51</v>
      </c>
      <c r="G606" t="s">
        <v>39</v>
      </c>
      <c r="H606" t="s">
        <v>21</v>
      </c>
      <c r="I606">
        <v>11</v>
      </c>
      <c r="J606">
        <v>524.85</v>
      </c>
      <c r="K606">
        <v>5773.35</v>
      </c>
      <c r="L606" t="s">
        <v>22</v>
      </c>
      <c r="M606" t="s">
        <v>22</v>
      </c>
      <c r="N606" s="1">
        <v>46203</v>
      </c>
      <c r="O606">
        <v>5773.35</v>
      </c>
    </row>
    <row r="607" spans="1:15" x14ac:dyDescent="0.3">
      <c r="A607" t="s">
        <v>654</v>
      </c>
      <c r="B607" s="1">
        <v>45881</v>
      </c>
      <c r="C607" t="s">
        <v>625</v>
      </c>
      <c r="D607" t="s">
        <v>49</v>
      </c>
      <c r="E607" t="s">
        <v>18</v>
      </c>
      <c r="F607" t="s">
        <v>29</v>
      </c>
      <c r="G607" t="s">
        <v>39</v>
      </c>
      <c r="H607" t="s">
        <v>21</v>
      </c>
      <c r="I607">
        <v>11</v>
      </c>
      <c r="J607">
        <v>456.55</v>
      </c>
      <c r="K607">
        <v>5022.05</v>
      </c>
      <c r="L607" t="s">
        <v>22</v>
      </c>
      <c r="M607" t="s">
        <v>22</v>
      </c>
      <c r="N607" s="1">
        <v>46203</v>
      </c>
      <c r="O607">
        <v>5022.05</v>
      </c>
    </row>
    <row r="608" spans="1:15" x14ac:dyDescent="0.3">
      <c r="A608" t="s">
        <v>655</v>
      </c>
      <c r="B608" s="1">
        <v>45881</v>
      </c>
      <c r="C608" t="s">
        <v>625</v>
      </c>
      <c r="D608" t="s">
        <v>49</v>
      </c>
      <c r="E608" t="s">
        <v>25</v>
      </c>
      <c r="F608" t="s">
        <v>38</v>
      </c>
      <c r="G608" t="s">
        <v>20</v>
      </c>
      <c r="H608" t="s">
        <v>21</v>
      </c>
      <c r="I608">
        <v>11</v>
      </c>
      <c r="J608">
        <v>484.19</v>
      </c>
      <c r="K608">
        <v>5326.09</v>
      </c>
      <c r="L608" t="s">
        <v>22</v>
      </c>
      <c r="M608" t="s">
        <v>22</v>
      </c>
      <c r="N608" s="1">
        <v>46203</v>
      </c>
      <c r="O608">
        <v>5326.09</v>
      </c>
    </row>
    <row r="609" spans="1:15" x14ac:dyDescent="0.3">
      <c r="A609" t="s">
        <v>656</v>
      </c>
      <c r="B609" s="1">
        <v>45882</v>
      </c>
      <c r="C609" t="s">
        <v>625</v>
      </c>
      <c r="D609" t="s">
        <v>24</v>
      </c>
      <c r="E609" t="s">
        <v>28</v>
      </c>
      <c r="F609" t="s">
        <v>19</v>
      </c>
      <c r="G609" t="s">
        <v>20</v>
      </c>
      <c r="H609" t="s">
        <v>21</v>
      </c>
      <c r="I609">
        <v>11</v>
      </c>
      <c r="J609">
        <v>955.4</v>
      </c>
      <c r="K609">
        <v>10509.4</v>
      </c>
      <c r="L609" t="s">
        <v>22</v>
      </c>
      <c r="M609" t="s">
        <v>22</v>
      </c>
      <c r="N609" s="1">
        <v>46203</v>
      </c>
      <c r="O609">
        <v>10509.4</v>
      </c>
    </row>
    <row r="610" spans="1:15" x14ac:dyDescent="0.3">
      <c r="A610" t="s">
        <v>657</v>
      </c>
      <c r="B610" s="1">
        <v>45882</v>
      </c>
      <c r="C610" t="s">
        <v>625</v>
      </c>
      <c r="D610" t="s">
        <v>49</v>
      </c>
      <c r="E610" t="s">
        <v>18</v>
      </c>
      <c r="F610" t="s">
        <v>51</v>
      </c>
      <c r="G610" t="s">
        <v>39</v>
      </c>
      <c r="H610" t="s">
        <v>40</v>
      </c>
      <c r="I610">
        <v>11</v>
      </c>
      <c r="J610">
        <v>504.28</v>
      </c>
      <c r="K610">
        <v>5547.08</v>
      </c>
      <c r="L610" t="s">
        <v>22</v>
      </c>
      <c r="M610" t="s">
        <v>22</v>
      </c>
      <c r="N610" s="1">
        <v>46203</v>
      </c>
      <c r="O610">
        <v>5547.08</v>
      </c>
    </row>
    <row r="611" spans="1:15" x14ac:dyDescent="0.3">
      <c r="A611" t="s">
        <v>658</v>
      </c>
      <c r="B611" s="1">
        <v>45882</v>
      </c>
      <c r="C611" t="s">
        <v>625</v>
      </c>
      <c r="D611" t="s">
        <v>49</v>
      </c>
      <c r="E611" t="s">
        <v>28</v>
      </c>
      <c r="F611" t="s">
        <v>33</v>
      </c>
      <c r="G611" t="s">
        <v>39</v>
      </c>
      <c r="H611" t="s">
        <v>34</v>
      </c>
      <c r="I611">
        <v>11</v>
      </c>
      <c r="J611">
        <v>521.04999999999995</v>
      </c>
      <c r="K611">
        <v>5731.55</v>
      </c>
      <c r="L611" t="s">
        <v>22</v>
      </c>
      <c r="M611" t="s">
        <v>22</v>
      </c>
      <c r="N611" s="1">
        <v>46203</v>
      </c>
      <c r="O611">
        <v>5731.55</v>
      </c>
    </row>
    <row r="612" spans="1:15" x14ac:dyDescent="0.3">
      <c r="A612" t="s">
        <v>659</v>
      </c>
      <c r="B612" s="1">
        <v>45882</v>
      </c>
      <c r="C612" t="s">
        <v>625</v>
      </c>
      <c r="D612" t="s">
        <v>24</v>
      </c>
      <c r="E612" t="s">
        <v>50</v>
      </c>
      <c r="F612" t="s">
        <v>51</v>
      </c>
      <c r="G612" t="s">
        <v>20</v>
      </c>
      <c r="H612" t="s">
        <v>21</v>
      </c>
      <c r="I612">
        <v>11</v>
      </c>
      <c r="J612">
        <v>898.7</v>
      </c>
      <c r="K612">
        <v>9885.7000000000007</v>
      </c>
      <c r="L612" t="s">
        <v>22</v>
      </c>
      <c r="M612" t="s">
        <v>22</v>
      </c>
      <c r="N612" s="1">
        <v>46203</v>
      </c>
      <c r="O612">
        <v>9885.7000000000007</v>
      </c>
    </row>
    <row r="613" spans="1:15" x14ac:dyDescent="0.3">
      <c r="A613" t="s">
        <v>660</v>
      </c>
      <c r="B613" s="1">
        <v>45882</v>
      </c>
      <c r="C613" t="s">
        <v>625</v>
      </c>
      <c r="D613" t="s">
        <v>24</v>
      </c>
      <c r="E613" t="s">
        <v>25</v>
      </c>
      <c r="F613" t="s">
        <v>19</v>
      </c>
      <c r="G613" t="s">
        <v>20</v>
      </c>
      <c r="H613" t="s">
        <v>40</v>
      </c>
      <c r="I613">
        <v>11</v>
      </c>
      <c r="J613">
        <v>885.47</v>
      </c>
      <c r="K613">
        <v>9740.17</v>
      </c>
      <c r="L613" t="s">
        <v>22</v>
      </c>
      <c r="M613" t="s">
        <v>22</v>
      </c>
      <c r="N613" s="1">
        <v>46203</v>
      </c>
      <c r="O613">
        <v>9740.17</v>
      </c>
    </row>
    <row r="614" spans="1:15" x14ac:dyDescent="0.3">
      <c r="A614" t="s">
        <v>661</v>
      </c>
      <c r="B614" s="1">
        <v>45882</v>
      </c>
      <c r="C614" t="s">
        <v>625</v>
      </c>
      <c r="D614" t="s">
        <v>17</v>
      </c>
      <c r="E614" t="s">
        <v>28</v>
      </c>
      <c r="F614" t="s">
        <v>33</v>
      </c>
      <c r="G614" t="s">
        <v>20</v>
      </c>
      <c r="H614" t="s">
        <v>34</v>
      </c>
      <c r="I614">
        <v>11</v>
      </c>
      <c r="J614">
        <v>1496.25</v>
      </c>
      <c r="K614">
        <v>16458.75</v>
      </c>
      <c r="L614" t="s">
        <v>22</v>
      </c>
      <c r="M614" t="s">
        <v>22</v>
      </c>
      <c r="N614" s="1">
        <v>46203</v>
      </c>
      <c r="O614">
        <v>16458.75</v>
      </c>
    </row>
    <row r="615" spans="1:15" x14ac:dyDescent="0.3">
      <c r="A615" t="s">
        <v>662</v>
      </c>
      <c r="B615" s="1">
        <v>45883</v>
      </c>
      <c r="C615" t="s">
        <v>625</v>
      </c>
      <c r="D615" t="s">
        <v>17</v>
      </c>
      <c r="E615" t="s">
        <v>18</v>
      </c>
      <c r="F615" t="s">
        <v>19</v>
      </c>
      <c r="G615" t="s">
        <v>20</v>
      </c>
      <c r="H615" t="s">
        <v>45</v>
      </c>
      <c r="I615">
        <v>11</v>
      </c>
      <c r="J615">
        <v>1425.41</v>
      </c>
      <c r="K615">
        <v>15679.51</v>
      </c>
      <c r="L615" t="s">
        <v>22</v>
      </c>
      <c r="M615" t="s">
        <v>22</v>
      </c>
      <c r="N615" s="1">
        <v>46203</v>
      </c>
      <c r="O615">
        <v>15679.51</v>
      </c>
    </row>
    <row r="616" spans="1:15" x14ac:dyDescent="0.3">
      <c r="A616" t="s">
        <v>663</v>
      </c>
      <c r="B616" s="1">
        <v>45884</v>
      </c>
      <c r="C616" t="s">
        <v>625</v>
      </c>
      <c r="D616" t="s">
        <v>24</v>
      </c>
      <c r="E616" t="s">
        <v>25</v>
      </c>
      <c r="F616" t="s">
        <v>29</v>
      </c>
      <c r="G616" t="s">
        <v>20</v>
      </c>
      <c r="H616" t="s">
        <v>21</v>
      </c>
      <c r="I616">
        <v>10</v>
      </c>
      <c r="J616">
        <v>857.78</v>
      </c>
      <c r="K616">
        <v>8577.7999999999993</v>
      </c>
      <c r="L616" t="s">
        <v>22</v>
      </c>
      <c r="M616" t="s">
        <v>22</v>
      </c>
      <c r="N616" s="1">
        <v>46203</v>
      </c>
      <c r="O616">
        <v>8577.7999999999993</v>
      </c>
    </row>
    <row r="617" spans="1:15" x14ac:dyDescent="0.3">
      <c r="A617" t="s">
        <v>664</v>
      </c>
      <c r="B617" s="1">
        <v>45884</v>
      </c>
      <c r="C617" t="s">
        <v>625</v>
      </c>
      <c r="D617" t="s">
        <v>24</v>
      </c>
      <c r="E617" t="s">
        <v>25</v>
      </c>
      <c r="F617" t="s">
        <v>19</v>
      </c>
      <c r="G617" t="s">
        <v>20</v>
      </c>
      <c r="H617" t="s">
        <v>21</v>
      </c>
      <c r="I617">
        <v>10</v>
      </c>
      <c r="J617">
        <v>885.61</v>
      </c>
      <c r="K617">
        <v>8856.1</v>
      </c>
      <c r="L617" t="s">
        <v>22</v>
      </c>
      <c r="M617" t="s">
        <v>22</v>
      </c>
      <c r="N617" s="1">
        <v>46203</v>
      </c>
      <c r="O617">
        <v>8856.1</v>
      </c>
    </row>
    <row r="618" spans="1:15" x14ac:dyDescent="0.3">
      <c r="A618" t="s">
        <v>665</v>
      </c>
      <c r="B618" s="1">
        <v>45885</v>
      </c>
      <c r="C618" t="s">
        <v>625</v>
      </c>
      <c r="D618" t="s">
        <v>49</v>
      </c>
      <c r="E618" t="s">
        <v>25</v>
      </c>
      <c r="F618" t="s">
        <v>19</v>
      </c>
      <c r="G618" t="s">
        <v>39</v>
      </c>
      <c r="H618" t="s">
        <v>21</v>
      </c>
      <c r="I618">
        <v>10</v>
      </c>
      <c r="J618">
        <v>508.74</v>
      </c>
      <c r="K618">
        <v>5087.3999999999996</v>
      </c>
      <c r="L618" t="s">
        <v>22</v>
      </c>
      <c r="M618" t="s">
        <v>22</v>
      </c>
      <c r="N618" s="1">
        <v>46203</v>
      </c>
      <c r="O618">
        <v>5087.3999999999996</v>
      </c>
    </row>
    <row r="619" spans="1:15" x14ac:dyDescent="0.3">
      <c r="A619" t="s">
        <v>666</v>
      </c>
      <c r="B619" s="1">
        <v>45886</v>
      </c>
      <c r="C619" t="s">
        <v>625</v>
      </c>
      <c r="D619" t="s">
        <v>24</v>
      </c>
      <c r="E619" t="s">
        <v>18</v>
      </c>
      <c r="F619" t="s">
        <v>19</v>
      </c>
      <c r="G619" t="s">
        <v>39</v>
      </c>
      <c r="H619" t="s">
        <v>40</v>
      </c>
      <c r="I619">
        <v>10</v>
      </c>
      <c r="J619">
        <v>877.56</v>
      </c>
      <c r="K619">
        <v>8775.6</v>
      </c>
      <c r="L619" t="s">
        <v>22</v>
      </c>
      <c r="M619" t="s">
        <v>22</v>
      </c>
      <c r="N619" s="1">
        <v>46203</v>
      </c>
      <c r="O619">
        <v>8775.6</v>
      </c>
    </row>
    <row r="620" spans="1:15" x14ac:dyDescent="0.3">
      <c r="A620" t="s">
        <v>667</v>
      </c>
      <c r="B620" s="1">
        <v>45886</v>
      </c>
      <c r="C620" t="s">
        <v>625</v>
      </c>
      <c r="D620" t="s">
        <v>24</v>
      </c>
      <c r="E620" t="s">
        <v>28</v>
      </c>
      <c r="F620" t="s">
        <v>38</v>
      </c>
      <c r="G620" t="s">
        <v>39</v>
      </c>
      <c r="H620" t="s">
        <v>21</v>
      </c>
      <c r="I620">
        <v>10</v>
      </c>
      <c r="J620">
        <v>811.3</v>
      </c>
      <c r="K620">
        <v>8113</v>
      </c>
      <c r="L620" t="s">
        <v>22</v>
      </c>
      <c r="M620" t="s">
        <v>22</v>
      </c>
      <c r="N620" s="1">
        <v>46203</v>
      </c>
      <c r="O620">
        <v>8113</v>
      </c>
    </row>
    <row r="621" spans="1:15" x14ac:dyDescent="0.3">
      <c r="A621" t="s">
        <v>668</v>
      </c>
      <c r="B621" s="1">
        <v>45887</v>
      </c>
      <c r="C621" t="s">
        <v>625</v>
      </c>
      <c r="D621" t="s">
        <v>24</v>
      </c>
      <c r="E621" t="s">
        <v>18</v>
      </c>
      <c r="F621" t="s">
        <v>51</v>
      </c>
      <c r="G621" t="s">
        <v>39</v>
      </c>
      <c r="H621" t="s">
        <v>34</v>
      </c>
      <c r="I621">
        <v>10</v>
      </c>
      <c r="J621">
        <v>892.32</v>
      </c>
      <c r="K621">
        <v>8923.2000000000007</v>
      </c>
      <c r="L621" t="s">
        <v>22</v>
      </c>
      <c r="M621" t="s">
        <v>22</v>
      </c>
      <c r="N621" s="1">
        <v>46203</v>
      </c>
      <c r="O621">
        <v>8923.2000000000007</v>
      </c>
    </row>
    <row r="622" spans="1:15" x14ac:dyDescent="0.3">
      <c r="A622" t="s">
        <v>669</v>
      </c>
      <c r="B622" s="1">
        <v>45887</v>
      </c>
      <c r="C622" t="s">
        <v>625</v>
      </c>
      <c r="D622" t="s">
        <v>24</v>
      </c>
      <c r="E622" t="s">
        <v>18</v>
      </c>
      <c r="F622" t="s">
        <v>29</v>
      </c>
      <c r="G622" t="s">
        <v>39</v>
      </c>
      <c r="H622" t="s">
        <v>21</v>
      </c>
      <c r="I622">
        <v>7</v>
      </c>
      <c r="J622">
        <v>931.37</v>
      </c>
      <c r="K622">
        <v>6519.59</v>
      </c>
      <c r="L622" t="s">
        <v>30</v>
      </c>
      <c r="M622" t="s">
        <v>43</v>
      </c>
      <c r="N622" s="1">
        <v>46108</v>
      </c>
      <c r="O622">
        <v>6519.59</v>
      </c>
    </row>
    <row r="623" spans="1:15" x14ac:dyDescent="0.3">
      <c r="A623" t="s">
        <v>670</v>
      </c>
      <c r="B623" s="1">
        <v>45887</v>
      </c>
      <c r="C623" t="s">
        <v>625</v>
      </c>
      <c r="D623" t="s">
        <v>17</v>
      </c>
      <c r="E623" t="s">
        <v>28</v>
      </c>
      <c r="F623" t="s">
        <v>33</v>
      </c>
      <c r="G623" t="s">
        <v>26</v>
      </c>
      <c r="H623" t="s">
        <v>34</v>
      </c>
      <c r="I623">
        <v>10</v>
      </c>
      <c r="J623">
        <v>1563.97</v>
      </c>
      <c r="K623">
        <v>15639.7</v>
      </c>
      <c r="L623" t="s">
        <v>22</v>
      </c>
      <c r="M623" t="s">
        <v>22</v>
      </c>
      <c r="N623" s="1">
        <v>46203</v>
      </c>
      <c r="O623">
        <v>15639.7</v>
      </c>
    </row>
    <row r="624" spans="1:15" x14ac:dyDescent="0.3">
      <c r="A624" t="s">
        <v>671</v>
      </c>
      <c r="B624" s="1">
        <v>45887</v>
      </c>
      <c r="C624" t="s">
        <v>625</v>
      </c>
      <c r="D624" t="s">
        <v>17</v>
      </c>
      <c r="E624" t="s">
        <v>25</v>
      </c>
      <c r="F624" t="s">
        <v>29</v>
      </c>
      <c r="G624" t="s">
        <v>20</v>
      </c>
      <c r="H624" t="s">
        <v>34</v>
      </c>
      <c r="I624">
        <v>10</v>
      </c>
      <c r="J624">
        <v>1540.48</v>
      </c>
      <c r="K624">
        <v>15404.8</v>
      </c>
      <c r="L624" t="s">
        <v>22</v>
      </c>
      <c r="M624" t="s">
        <v>22</v>
      </c>
      <c r="N624" s="1">
        <v>46203</v>
      </c>
      <c r="O624">
        <v>15404.8</v>
      </c>
    </row>
    <row r="625" spans="1:15" x14ac:dyDescent="0.3">
      <c r="A625" t="s">
        <v>672</v>
      </c>
      <c r="B625" s="1">
        <v>45888</v>
      </c>
      <c r="C625" t="s">
        <v>625</v>
      </c>
      <c r="D625" t="s">
        <v>17</v>
      </c>
      <c r="E625" t="s">
        <v>50</v>
      </c>
      <c r="F625" t="s">
        <v>29</v>
      </c>
      <c r="G625" t="s">
        <v>39</v>
      </c>
      <c r="H625" t="s">
        <v>21</v>
      </c>
      <c r="I625">
        <v>10</v>
      </c>
      <c r="J625">
        <v>1380.75</v>
      </c>
      <c r="K625">
        <v>13807.5</v>
      </c>
      <c r="L625" t="s">
        <v>30</v>
      </c>
      <c r="M625" t="s">
        <v>41</v>
      </c>
      <c r="N625" s="1">
        <v>46182</v>
      </c>
      <c r="O625">
        <v>13807.5</v>
      </c>
    </row>
    <row r="626" spans="1:15" x14ac:dyDescent="0.3">
      <c r="A626" t="s">
        <v>673</v>
      </c>
      <c r="B626" s="1">
        <v>45888</v>
      </c>
      <c r="C626" t="s">
        <v>625</v>
      </c>
      <c r="D626" t="s">
        <v>17</v>
      </c>
      <c r="E626" t="s">
        <v>28</v>
      </c>
      <c r="F626" t="s">
        <v>19</v>
      </c>
      <c r="G626" t="s">
        <v>39</v>
      </c>
      <c r="H626" t="s">
        <v>21</v>
      </c>
      <c r="I626">
        <v>10</v>
      </c>
      <c r="J626">
        <v>1349.42</v>
      </c>
      <c r="K626">
        <v>13494.2</v>
      </c>
      <c r="L626" t="s">
        <v>22</v>
      </c>
      <c r="M626" t="s">
        <v>22</v>
      </c>
      <c r="N626" s="1">
        <v>46203</v>
      </c>
      <c r="O626">
        <v>13494.2</v>
      </c>
    </row>
    <row r="627" spans="1:15" x14ac:dyDescent="0.3">
      <c r="A627" t="s">
        <v>674</v>
      </c>
      <c r="B627" s="1">
        <v>45889</v>
      </c>
      <c r="C627" t="s">
        <v>625</v>
      </c>
      <c r="D627" t="s">
        <v>24</v>
      </c>
      <c r="E627" t="s">
        <v>25</v>
      </c>
      <c r="F627" t="s">
        <v>51</v>
      </c>
      <c r="G627" t="s">
        <v>39</v>
      </c>
      <c r="H627" t="s">
        <v>21</v>
      </c>
      <c r="I627">
        <v>10</v>
      </c>
      <c r="J627">
        <v>815.79</v>
      </c>
      <c r="K627">
        <v>8157.9</v>
      </c>
      <c r="L627" t="s">
        <v>22</v>
      </c>
      <c r="M627" t="s">
        <v>22</v>
      </c>
      <c r="N627" s="1">
        <v>46203</v>
      </c>
      <c r="O627">
        <v>8157.9</v>
      </c>
    </row>
    <row r="628" spans="1:15" x14ac:dyDescent="0.3">
      <c r="A628" t="s">
        <v>675</v>
      </c>
      <c r="B628" s="1">
        <v>45889</v>
      </c>
      <c r="C628" t="s">
        <v>625</v>
      </c>
      <c r="D628" t="s">
        <v>49</v>
      </c>
      <c r="E628" t="s">
        <v>25</v>
      </c>
      <c r="F628" t="s">
        <v>19</v>
      </c>
      <c r="G628" t="s">
        <v>39</v>
      </c>
      <c r="H628" t="s">
        <v>40</v>
      </c>
      <c r="I628">
        <v>10</v>
      </c>
      <c r="J628">
        <v>545.80999999999995</v>
      </c>
      <c r="K628">
        <v>5458.1</v>
      </c>
      <c r="L628" t="s">
        <v>22</v>
      </c>
      <c r="M628" t="s">
        <v>22</v>
      </c>
      <c r="N628" s="1">
        <v>46203</v>
      </c>
      <c r="O628">
        <v>5458.1</v>
      </c>
    </row>
    <row r="629" spans="1:15" x14ac:dyDescent="0.3">
      <c r="A629" t="s">
        <v>676</v>
      </c>
      <c r="B629" s="1">
        <v>45889</v>
      </c>
      <c r="C629" t="s">
        <v>625</v>
      </c>
      <c r="D629" t="s">
        <v>24</v>
      </c>
      <c r="E629" t="s">
        <v>25</v>
      </c>
      <c r="F629" t="s">
        <v>51</v>
      </c>
      <c r="G629" t="s">
        <v>39</v>
      </c>
      <c r="H629" t="s">
        <v>40</v>
      </c>
      <c r="I629">
        <v>10</v>
      </c>
      <c r="J629">
        <v>939.24</v>
      </c>
      <c r="K629">
        <v>9392.4</v>
      </c>
      <c r="L629" t="s">
        <v>22</v>
      </c>
      <c r="M629" t="s">
        <v>22</v>
      </c>
      <c r="N629" s="1">
        <v>46203</v>
      </c>
      <c r="O629">
        <v>9392.4</v>
      </c>
    </row>
    <row r="630" spans="1:15" x14ac:dyDescent="0.3">
      <c r="A630" t="s">
        <v>677</v>
      </c>
      <c r="B630" s="1">
        <v>45889</v>
      </c>
      <c r="C630" t="s">
        <v>625</v>
      </c>
      <c r="D630" t="s">
        <v>49</v>
      </c>
      <c r="E630" t="s">
        <v>25</v>
      </c>
      <c r="F630" t="s">
        <v>38</v>
      </c>
      <c r="G630" t="s">
        <v>20</v>
      </c>
      <c r="H630" t="s">
        <v>45</v>
      </c>
      <c r="I630">
        <v>10</v>
      </c>
      <c r="J630">
        <v>486.72</v>
      </c>
      <c r="K630">
        <v>4867.2</v>
      </c>
      <c r="L630" t="s">
        <v>22</v>
      </c>
      <c r="M630" t="s">
        <v>22</v>
      </c>
      <c r="N630" s="1">
        <v>46203</v>
      </c>
      <c r="O630">
        <v>4867.2</v>
      </c>
    </row>
    <row r="631" spans="1:15" x14ac:dyDescent="0.3">
      <c r="A631" t="s">
        <v>678</v>
      </c>
      <c r="B631" s="1">
        <v>45889</v>
      </c>
      <c r="C631" t="s">
        <v>625</v>
      </c>
      <c r="D631" t="s">
        <v>24</v>
      </c>
      <c r="E631" t="s">
        <v>25</v>
      </c>
      <c r="F631" t="s">
        <v>33</v>
      </c>
      <c r="G631" t="s">
        <v>26</v>
      </c>
      <c r="H631" t="s">
        <v>21</v>
      </c>
      <c r="I631">
        <v>10</v>
      </c>
      <c r="J631">
        <v>822.64</v>
      </c>
      <c r="K631">
        <v>8226.4</v>
      </c>
      <c r="L631" t="s">
        <v>22</v>
      </c>
      <c r="M631" t="s">
        <v>22</v>
      </c>
      <c r="N631" s="1">
        <v>46203</v>
      </c>
      <c r="O631">
        <v>8226.4</v>
      </c>
    </row>
    <row r="632" spans="1:15" x14ac:dyDescent="0.3">
      <c r="A632" t="s">
        <v>679</v>
      </c>
      <c r="B632" s="1">
        <v>45889</v>
      </c>
      <c r="C632" t="s">
        <v>625</v>
      </c>
      <c r="D632" t="s">
        <v>49</v>
      </c>
      <c r="E632" t="s">
        <v>25</v>
      </c>
      <c r="F632" t="s">
        <v>33</v>
      </c>
      <c r="G632" t="s">
        <v>39</v>
      </c>
      <c r="H632" t="s">
        <v>40</v>
      </c>
      <c r="I632">
        <v>10</v>
      </c>
      <c r="J632">
        <v>453.41</v>
      </c>
      <c r="K632">
        <v>4534.1000000000004</v>
      </c>
      <c r="L632" t="s">
        <v>22</v>
      </c>
      <c r="M632" t="s">
        <v>22</v>
      </c>
      <c r="N632" s="1">
        <v>46203</v>
      </c>
      <c r="O632">
        <v>4534.1000000000004</v>
      </c>
    </row>
    <row r="633" spans="1:15" x14ac:dyDescent="0.3">
      <c r="A633" t="s">
        <v>680</v>
      </c>
      <c r="B633" s="1">
        <v>45889</v>
      </c>
      <c r="C633" t="s">
        <v>625</v>
      </c>
      <c r="D633" t="s">
        <v>17</v>
      </c>
      <c r="E633" t="s">
        <v>28</v>
      </c>
      <c r="F633" t="s">
        <v>29</v>
      </c>
      <c r="G633" t="s">
        <v>39</v>
      </c>
      <c r="H633" t="s">
        <v>21</v>
      </c>
      <c r="I633">
        <v>10</v>
      </c>
      <c r="J633">
        <v>1440.14</v>
      </c>
      <c r="K633">
        <v>14401.4</v>
      </c>
      <c r="L633" t="s">
        <v>22</v>
      </c>
      <c r="M633" t="s">
        <v>22</v>
      </c>
      <c r="N633" s="1">
        <v>46203</v>
      </c>
      <c r="O633">
        <v>14401.4</v>
      </c>
    </row>
    <row r="634" spans="1:15" x14ac:dyDescent="0.3">
      <c r="A634" t="s">
        <v>681</v>
      </c>
      <c r="B634" s="1">
        <v>45890</v>
      </c>
      <c r="C634" t="s">
        <v>625</v>
      </c>
      <c r="D634" t="s">
        <v>17</v>
      </c>
      <c r="E634" t="s">
        <v>18</v>
      </c>
      <c r="F634" t="s">
        <v>51</v>
      </c>
      <c r="G634" t="s">
        <v>26</v>
      </c>
      <c r="H634" t="s">
        <v>21</v>
      </c>
      <c r="I634">
        <v>1</v>
      </c>
      <c r="J634">
        <v>1521.33</v>
      </c>
      <c r="K634">
        <v>1521.33</v>
      </c>
      <c r="L634" t="s">
        <v>30</v>
      </c>
      <c r="M634" t="s">
        <v>41</v>
      </c>
      <c r="N634" s="1">
        <v>45933</v>
      </c>
      <c r="O634">
        <v>1521.33</v>
      </c>
    </row>
    <row r="635" spans="1:15" x14ac:dyDescent="0.3">
      <c r="A635" t="s">
        <v>682</v>
      </c>
      <c r="B635" s="1">
        <v>45890</v>
      </c>
      <c r="C635" t="s">
        <v>625</v>
      </c>
      <c r="D635" t="s">
        <v>49</v>
      </c>
      <c r="E635" t="s">
        <v>28</v>
      </c>
      <c r="F635" t="s">
        <v>19</v>
      </c>
      <c r="G635" t="s">
        <v>26</v>
      </c>
      <c r="H635" t="s">
        <v>34</v>
      </c>
      <c r="I635">
        <v>10</v>
      </c>
      <c r="J635">
        <v>488.24</v>
      </c>
      <c r="K635">
        <v>4882.3999999999996</v>
      </c>
      <c r="L635" t="s">
        <v>22</v>
      </c>
      <c r="M635" t="s">
        <v>22</v>
      </c>
      <c r="N635" s="1">
        <v>46203</v>
      </c>
      <c r="O635">
        <v>4882.3999999999996</v>
      </c>
    </row>
    <row r="636" spans="1:15" x14ac:dyDescent="0.3">
      <c r="A636" t="s">
        <v>683</v>
      </c>
      <c r="B636" s="1">
        <v>45890</v>
      </c>
      <c r="C636" t="s">
        <v>625</v>
      </c>
      <c r="D636" t="s">
        <v>17</v>
      </c>
      <c r="E636" t="s">
        <v>50</v>
      </c>
      <c r="F636" t="s">
        <v>38</v>
      </c>
      <c r="G636" t="s">
        <v>39</v>
      </c>
      <c r="H636" t="s">
        <v>21</v>
      </c>
      <c r="I636">
        <v>10</v>
      </c>
      <c r="J636">
        <v>1556.23</v>
      </c>
      <c r="K636">
        <v>15562.3</v>
      </c>
      <c r="L636" t="s">
        <v>30</v>
      </c>
      <c r="M636" t="s">
        <v>80</v>
      </c>
      <c r="N636" s="1">
        <v>46196</v>
      </c>
      <c r="O636">
        <v>15562.3</v>
      </c>
    </row>
    <row r="637" spans="1:15" x14ac:dyDescent="0.3">
      <c r="A637" t="s">
        <v>684</v>
      </c>
      <c r="B637" s="1">
        <v>45890</v>
      </c>
      <c r="C637" t="s">
        <v>625</v>
      </c>
      <c r="D637" t="s">
        <v>24</v>
      </c>
      <c r="E637" t="s">
        <v>25</v>
      </c>
      <c r="F637" t="s">
        <v>33</v>
      </c>
      <c r="G637" t="s">
        <v>39</v>
      </c>
      <c r="H637" t="s">
        <v>21</v>
      </c>
      <c r="I637">
        <v>5</v>
      </c>
      <c r="J637">
        <v>857.36</v>
      </c>
      <c r="K637">
        <v>4286.8</v>
      </c>
      <c r="L637" t="s">
        <v>30</v>
      </c>
      <c r="M637" t="s">
        <v>31</v>
      </c>
      <c r="N637" s="1">
        <v>46056</v>
      </c>
      <c r="O637">
        <v>4286.8</v>
      </c>
    </row>
    <row r="638" spans="1:15" x14ac:dyDescent="0.3">
      <c r="A638" t="s">
        <v>685</v>
      </c>
      <c r="B638" s="1">
        <v>45891</v>
      </c>
      <c r="C638" t="s">
        <v>625</v>
      </c>
      <c r="D638" t="s">
        <v>49</v>
      </c>
      <c r="E638" t="s">
        <v>50</v>
      </c>
      <c r="F638" t="s">
        <v>19</v>
      </c>
      <c r="G638" t="s">
        <v>39</v>
      </c>
      <c r="H638" t="s">
        <v>45</v>
      </c>
      <c r="I638">
        <v>10</v>
      </c>
      <c r="J638">
        <v>525.21</v>
      </c>
      <c r="K638">
        <v>5252.1</v>
      </c>
      <c r="L638" t="s">
        <v>22</v>
      </c>
      <c r="M638" t="s">
        <v>22</v>
      </c>
      <c r="N638" s="1">
        <v>46203</v>
      </c>
      <c r="O638">
        <v>5252.1</v>
      </c>
    </row>
    <row r="639" spans="1:15" x14ac:dyDescent="0.3">
      <c r="A639" t="s">
        <v>686</v>
      </c>
      <c r="B639" s="1">
        <v>45892</v>
      </c>
      <c r="C639" t="s">
        <v>625</v>
      </c>
      <c r="D639" t="s">
        <v>49</v>
      </c>
      <c r="E639" t="s">
        <v>25</v>
      </c>
      <c r="F639" t="s">
        <v>38</v>
      </c>
      <c r="G639" t="s">
        <v>26</v>
      </c>
      <c r="H639" t="s">
        <v>21</v>
      </c>
      <c r="I639">
        <v>10</v>
      </c>
      <c r="J639">
        <v>477.92</v>
      </c>
      <c r="K639">
        <v>4779.2</v>
      </c>
      <c r="L639" t="s">
        <v>22</v>
      </c>
      <c r="M639" t="s">
        <v>22</v>
      </c>
      <c r="N639" s="1">
        <v>46203</v>
      </c>
      <c r="O639">
        <v>4779.2</v>
      </c>
    </row>
    <row r="640" spans="1:15" x14ac:dyDescent="0.3">
      <c r="A640" t="s">
        <v>687</v>
      </c>
      <c r="B640" s="1">
        <v>45892</v>
      </c>
      <c r="C640" t="s">
        <v>625</v>
      </c>
      <c r="D640" t="s">
        <v>49</v>
      </c>
      <c r="E640" t="s">
        <v>25</v>
      </c>
      <c r="F640" t="s">
        <v>29</v>
      </c>
      <c r="G640" t="s">
        <v>26</v>
      </c>
      <c r="H640" t="s">
        <v>45</v>
      </c>
      <c r="I640">
        <v>5</v>
      </c>
      <c r="J640">
        <v>463.03</v>
      </c>
      <c r="K640">
        <v>2315.15</v>
      </c>
      <c r="L640" t="s">
        <v>30</v>
      </c>
      <c r="M640" t="s">
        <v>80</v>
      </c>
      <c r="N640" s="1">
        <v>46053</v>
      </c>
      <c r="O640">
        <v>2315.15</v>
      </c>
    </row>
    <row r="641" spans="1:15" x14ac:dyDescent="0.3">
      <c r="A641" t="s">
        <v>688</v>
      </c>
      <c r="B641" s="1">
        <v>45893</v>
      </c>
      <c r="C641" t="s">
        <v>625</v>
      </c>
      <c r="D641" t="s">
        <v>24</v>
      </c>
      <c r="E641" t="s">
        <v>25</v>
      </c>
      <c r="F641" t="s">
        <v>33</v>
      </c>
      <c r="G641" t="s">
        <v>39</v>
      </c>
      <c r="H641" t="s">
        <v>40</v>
      </c>
      <c r="I641">
        <v>10</v>
      </c>
      <c r="J641">
        <v>973.66</v>
      </c>
      <c r="K641">
        <v>9736.6</v>
      </c>
      <c r="L641" t="s">
        <v>22</v>
      </c>
      <c r="M641" t="s">
        <v>22</v>
      </c>
      <c r="N641" s="1">
        <v>46203</v>
      </c>
      <c r="O641">
        <v>9736.6</v>
      </c>
    </row>
    <row r="642" spans="1:15" x14ac:dyDescent="0.3">
      <c r="A642" t="s">
        <v>689</v>
      </c>
      <c r="B642" s="1">
        <v>45894</v>
      </c>
      <c r="C642" t="s">
        <v>625</v>
      </c>
      <c r="D642" t="s">
        <v>49</v>
      </c>
      <c r="E642" t="s">
        <v>25</v>
      </c>
      <c r="F642" t="s">
        <v>19</v>
      </c>
      <c r="G642" t="s">
        <v>39</v>
      </c>
      <c r="H642" t="s">
        <v>21</v>
      </c>
      <c r="I642">
        <v>10</v>
      </c>
      <c r="J642">
        <v>522.45000000000005</v>
      </c>
      <c r="K642">
        <v>5224.5</v>
      </c>
      <c r="L642" t="s">
        <v>22</v>
      </c>
      <c r="M642" t="s">
        <v>22</v>
      </c>
      <c r="N642" s="1">
        <v>46203</v>
      </c>
      <c r="O642">
        <v>5224.5</v>
      </c>
    </row>
    <row r="643" spans="1:15" x14ac:dyDescent="0.3">
      <c r="A643" t="s">
        <v>690</v>
      </c>
      <c r="B643" s="1">
        <v>45894</v>
      </c>
      <c r="C643" t="s">
        <v>625</v>
      </c>
      <c r="D643" t="s">
        <v>49</v>
      </c>
      <c r="E643" t="s">
        <v>25</v>
      </c>
      <c r="F643" t="s">
        <v>29</v>
      </c>
      <c r="G643" t="s">
        <v>39</v>
      </c>
      <c r="H643" t="s">
        <v>40</v>
      </c>
      <c r="I643">
        <v>5</v>
      </c>
      <c r="J643">
        <v>540.58000000000004</v>
      </c>
      <c r="K643">
        <v>2702.9</v>
      </c>
      <c r="L643" t="s">
        <v>30</v>
      </c>
      <c r="M643" t="s">
        <v>43</v>
      </c>
      <c r="N643" s="1">
        <v>46047</v>
      </c>
      <c r="O643">
        <v>2702.9</v>
      </c>
    </row>
    <row r="644" spans="1:15" x14ac:dyDescent="0.3">
      <c r="A644" t="s">
        <v>691</v>
      </c>
      <c r="B644" s="1">
        <v>45895</v>
      </c>
      <c r="C644" t="s">
        <v>625</v>
      </c>
      <c r="D644" t="s">
        <v>24</v>
      </c>
      <c r="E644" t="s">
        <v>25</v>
      </c>
      <c r="F644" t="s">
        <v>38</v>
      </c>
      <c r="G644" t="s">
        <v>39</v>
      </c>
      <c r="H644" t="s">
        <v>21</v>
      </c>
      <c r="I644">
        <v>10</v>
      </c>
      <c r="J644">
        <v>828.86</v>
      </c>
      <c r="K644">
        <v>8288.6</v>
      </c>
      <c r="L644" t="s">
        <v>22</v>
      </c>
      <c r="M644" t="s">
        <v>22</v>
      </c>
      <c r="N644" s="1">
        <v>46203</v>
      </c>
      <c r="O644">
        <v>8288.6</v>
      </c>
    </row>
    <row r="645" spans="1:15" x14ac:dyDescent="0.3">
      <c r="A645" t="s">
        <v>692</v>
      </c>
      <c r="B645" s="1">
        <v>45895</v>
      </c>
      <c r="C645" t="s">
        <v>625</v>
      </c>
      <c r="D645" t="s">
        <v>17</v>
      </c>
      <c r="E645" t="s">
        <v>28</v>
      </c>
      <c r="F645" t="s">
        <v>51</v>
      </c>
      <c r="G645" t="s">
        <v>26</v>
      </c>
      <c r="H645" t="s">
        <v>45</v>
      </c>
      <c r="I645">
        <v>10</v>
      </c>
      <c r="J645">
        <v>1487.4</v>
      </c>
      <c r="K645">
        <v>14874</v>
      </c>
      <c r="L645" t="s">
        <v>22</v>
      </c>
      <c r="M645" t="s">
        <v>22</v>
      </c>
      <c r="N645" s="1">
        <v>46203</v>
      </c>
      <c r="O645">
        <v>14874</v>
      </c>
    </row>
    <row r="646" spans="1:15" x14ac:dyDescent="0.3">
      <c r="A646" t="s">
        <v>693</v>
      </c>
      <c r="B646" s="1">
        <v>45895</v>
      </c>
      <c r="C646" t="s">
        <v>625</v>
      </c>
      <c r="D646" t="s">
        <v>49</v>
      </c>
      <c r="E646" t="s">
        <v>50</v>
      </c>
      <c r="F646" t="s">
        <v>38</v>
      </c>
      <c r="G646" t="s">
        <v>39</v>
      </c>
      <c r="H646" t="s">
        <v>21</v>
      </c>
      <c r="I646">
        <v>8</v>
      </c>
      <c r="J646">
        <v>538.61</v>
      </c>
      <c r="K646">
        <v>4308.88</v>
      </c>
      <c r="L646" t="s">
        <v>30</v>
      </c>
      <c r="M646" t="s">
        <v>41</v>
      </c>
      <c r="N646" s="1">
        <v>46151</v>
      </c>
      <c r="O646">
        <v>4308.88</v>
      </c>
    </row>
    <row r="647" spans="1:15" x14ac:dyDescent="0.3">
      <c r="A647" t="s">
        <v>694</v>
      </c>
      <c r="B647" s="1">
        <v>45895</v>
      </c>
      <c r="C647" t="s">
        <v>625</v>
      </c>
      <c r="D647" t="s">
        <v>24</v>
      </c>
      <c r="E647" t="s">
        <v>28</v>
      </c>
      <c r="F647" t="s">
        <v>19</v>
      </c>
      <c r="G647" t="s">
        <v>39</v>
      </c>
      <c r="H647" t="s">
        <v>34</v>
      </c>
      <c r="I647">
        <v>10</v>
      </c>
      <c r="J647">
        <v>830.47</v>
      </c>
      <c r="K647">
        <v>8304.7000000000007</v>
      </c>
      <c r="L647" t="s">
        <v>22</v>
      </c>
      <c r="M647" t="s">
        <v>22</v>
      </c>
      <c r="N647" s="1">
        <v>46203</v>
      </c>
      <c r="O647">
        <v>8304.7000000000007</v>
      </c>
    </row>
    <row r="648" spans="1:15" x14ac:dyDescent="0.3">
      <c r="A648" t="s">
        <v>695</v>
      </c>
      <c r="B648" s="1">
        <v>45896</v>
      </c>
      <c r="C648" t="s">
        <v>625</v>
      </c>
      <c r="D648" t="s">
        <v>17</v>
      </c>
      <c r="E648" t="s">
        <v>25</v>
      </c>
      <c r="F648" t="s">
        <v>51</v>
      </c>
      <c r="G648" t="s">
        <v>39</v>
      </c>
      <c r="H648" t="s">
        <v>40</v>
      </c>
      <c r="I648">
        <v>10</v>
      </c>
      <c r="J648">
        <v>1382.89</v>
      </c>
      <c r="K648">
        <v>13828.9</v>
      </c>
      <c r="L648" t="s">
        <v>22</v>
      </c>
      <c r="M648" t="s">
        <v>22</v>
      </c>
      <c r="N648" s="1">
        <v>46203</v>
      </c>
      <c r="O648">
        <v>13828.9</v>
      </c>
    </row>
    <row r="649" spans="1:15" x14ac:dyDescent="0.3">
      <c r="A649" t="s">
        <v>696</v>
      </c>
      <c r="B649" s="1">
        <v>45896</v>
      </c>
      <c r="C649" t="s">
        <v>625</v>
      </c>
      <c r="D649" t="s">
        <v>17</v>
      </c>
      <c r="E649" t="s">
        <v>18</v>
      </c>
      <c r="F649" t="s">
        <v>29</v>
      </c>
      <c r="G649" t="s">
        <v>39</v>
      </c>
      <c r="H649" t="s">
        <v>40</v>
      </c>
      <c r="I649">
        <v>6</v>
      </c>
      <c r="J649">
        <v>1541.47</v>
      </c>
      <c r="K649">
        <v>9248.82</v>
      </c>
      <c r="L649" t="s">
        <v>30</v>
      </c>
      <c r="M649" t="s">
        <v>36</v>
      </c>
      <c r="N649" s="1">
        <v>46084</v>
      </c>
      <c r="O649">
        <v>9248.82</v>
      </c>
    </row>
    <row r="650" spans="1:15" x14ac:dyDescent="0.3">
      <c r="A650" t="s">
        <v>697</v>
      </c>
      <c r="B650" s="1">
        <v>45896</v>
      </c>
      <c r="C650" t="s">
        <v>625</v>
      </c>
      <c r="D650" t="s">
        <v>49</v>
      </c>
      <c r="E650" t="s">
        <v>28</v>
      </c>
      <c r="F650" t="s">
        <v>38</v>
      </c>
      <c r="G650" t="s">
        <v>39</v>
      </c>
      <c r="H650" t="s">
        <v>45</v>
      </c>
      <c r="I650">
        <v>10</v>
      </c>
      <c r="J650">
        <v>537.77</v>
      </c>
      <c r="K650">
        <v>5377.7</v>
      </c>
      <c r="L650" t="s">
        <v>22</v>
      </c>
      <c r="M650" t="s">
        <v>22</v>
      </c>
      <c r="N650" s="1">
        <v>46203</v>
      </c>
      <c r="O650">
        <v>5377.7</v>
      </c>
    </row>
    <row r="651" spans="1:15" x14ac:dyDescent="0.3">
      <c r="A651" t="s">
        <v>698</v>
      </c>
      <c r="B651" s="1">
        <v>45896</v>
      </c>
      <c r="C651" t="s">
        <v>625</v>
      </c>
      <c r="D651" t="s">
        <v>17</v>
      </c>
      <c r="E651" t="s">
        <v>25</v>
      </c>
      <c r="F651" t="s">
        <v>19</v>
      </c>
      <c r="G651" t="s">
        <v>39</v>
      </c>
      <c r="H651" t="s">
        <v>21</v>
      </c>
      <c r="I651">
        <v>10</v>
      </c>
      <c r="J651">
        <v>1565.24</v>
      </c>
      <c r="K651">
        <v>15652.4</v>
      </c>
      <c r="L651" t="s">
        <v>22</v>
      </c>
      <c r="M651" t="s">
        <v>22</v>
      </c>
      <c r="N651" s="1">
        <v>46203</v>
      </c>
      <c r="O651">
        <v>15652.4</v>
      </c>
    </row>
    <row r="652" spans="1:15" x14ac:dyDescent="0.3">
      <c r="A652" t="s">
        <v>699</v>
      </c>
      <c r="B652" s="1">
        <v>45897</v>
      </c>
      <c r="C652" t="s">
        <v>625</v>
      </c>
      <c r="D652" t="s">
        <v>17</v>
      </c>
      <c r="E652" t="s">
        <v>25</v>
      </c>
      <c r="F652" t="s">
        <v>38</v>
      </c>
      <c r="G652" t="s">
        <v>39</v>
      </c>
      <c r="H652" t="s">
        <v>21</v>
      </c>
      <c r="I652">
        <v>10</v>
      </c>
      <c r="J652">
        <v>1620.6</v>
      </c>
      <c r="K652">
        <v>16206</v>
      </c>
      <c r="L652" t="s">
        <v>22</v>
      </c>
      <c r="M652" t="s">
        <v>22</v>
      </c>
      <c r="N652" s="1">
        <v>46203</v>
      </c>
      <c r="O652">
        <v>16206</v>
      </c>
    </row>
    <row r="653" spans="1:15" x14ac:dyDescent="0.3">
      <c r="A653" t="s">
        <v>700</v>
      </c>
      <c r="B653" s="1">
        <v>45898</v>
      </c>
      <c r="C653" t="s">
        <v>625</v>
      </c>
      <c r="D653" t="s">
        <v>49</v>
      </c>
      <c r="E653" t="s">
        <v>18</v>
      </c>
      <c r="F653" t="s">
        <v>19</v>
      </c>
      <c r="G653" t="s">
        <v>39</v>
      </c>
      <c r="H653" t="s">
        <v>21</v>
      </c>
      <c r="I653">
        <v>10</v>
      </c>
      <c r="J653">
        <v>492.39</v>
      </c>
      <c r="K653">
        <v>4923.8999999999996</v>
      </c>
      <c r="L653" t="s">
        <v>22</v>
      </c>
      <c r="M653" t="s">
        <v>22</v>
      </c>
      <c r="N653" s="1">
        <v>46203</v>
      </c>
      <c r="O653">
        <v>4923.8999999999996</v>
      </c>
    </row>
    <row r="654" spans="1:15" x14ac:dyDescent="0.3">
      <c r="A654" t="s">
        <v>701</v>
      </c>
      <c r="B654" s="1">
        <v>45898</v>
      </c>
      <c r="C654" t="s">
        <v>625</v>
      </c>
      <c r="D654" t="s">
        <v>17</v>
      </c>
      <c r="E654" t="s">
        <v>28</v>
      </c>
      <c r="F654" t="s">
        <v>19</v>
      </c>
      <c r="G654" t="s">
        <v>39</v>
      </c>
      <c r="H654" t="s">
        <v>21</v>
      </c>
      <c r="I654">
        <v>3</v>
      </c>
      <c r="J654">
        <v>1587.08</v>
      </c>
      <c r="K654">
        <v>4761.24</v>
      </c>
      <c r="L654" t="s">
        <v>30</v>
      </c>
      <c r="M654" t="s">
        <v>43</v>
      </c>
      <c r="N654" s="1">
        <v>46004</v>
      </c>
      <c r="O654">
        <v>4761.24</v>
      </c>
    </row>
    <row r="655" spans="1:15" x14ac:dyDescent="0.3">
      <c r="A655" t="s">
        <v>702</v>
      </c>
      <c r="B655" s="1">
        <v>45899</v>
      </c>
      <c r="C655" t="s">
        <v>625</v>
      </c>
      <c r="D655" t="s">
        <v>49</v>
      </c>
      <c r="E655" t="s">
        <v>50</v>
      </c>
      <c r="F655" t="s">
        <v>29</v>
      </c>
      <c r="G655" t="s">
        <v>20</v>
      </c>
      <c r="H655" t="s">
        <v>34</v>
      </c>
      <c r="I655">
        <v>10</v>
      </c>
      <c r="J655">
        <v>475.47</v>
      </c>
      <c r="K655">
        <v>4754.7</v>
      </c>
      <c r="L655" t="s">
        <v>22</v>
      </c>
      <c r="M655" t="s">
        <v>22</v>
      </c>
      <c r="N655" s="1">
        <v>46203</v>
      </c>
      <c r="O655">
        <v>4754.7</v>
      </c>
    </row>
    <row r="656" spans="1:15" x14ac:dyDescent="0.3">
      <c r="A656" t="s">
        <v>703</v>
      </c>
      <c r="B656" s="1">
        <v>45899</v>
      </c>
      <c r="C656" t="s">
        <v>625</v>
      </c>
      <c r="D656" t="s">
        <v>49</v>
      </c>
      <c r="E656" t="s">
        <v>28</v>
      </c>
      <c r="F656" t="s">
        <v>29</v>
      </c>
      <c r="G656" t="s">
        <v>39</v>
      </c>
      <c r="H656" t="s">
        <v>21</v>
      </c>
      <c r="I656">
        <v>10</v>
      </c>
      <c r="J656">
        <v>477.98</v>
      </c>
      <c r="K656">
        <v>4779.8</v>
      </c>
      <c r="L656" t="s">
        <v>22</v>
      </c>
      <c r="M656" t="s">
        <v>22</v>
      </c>
      <c r="N656" s="1">
        <v>46203</v>
      </c>
      <c r="O656">
        <v>4779.8</v>
      </c>
    </row>
    <row r="657" spans="1:15" x14ac:dyDescent="0.3">
      <c r="A657" t="s">
        <v>704</v>
      </c>
      <c r="B657" s="1">
        <v>45899</v>
      </c>
      <c r="C657" t="s">
        <v>625</v>
      </c>
      <c r="D657" t="s">
        <v>24</v>
      </c>
      <c r="E657" t="s">
        <v>25</v>
      </c>
      <c r="F657" t="s">
        <v>38</v>
      </c>
      <c r="G657" t="s">
        <v>39</v>
      </c>
      <c r="H657" t="s">
        <v>45</v>
      </c>
      <c r="I657">
        <v>10</v>
      </c>
      <c r="J657">
        <v>824.55</v>
      </c>
      <c r="K657">
        <v>8245.5</v>
      </c>
      <c r="L657" t="s">
        <v>22</v>
      </c>
      <c r="M657" t="s">
        <v>22</v>
      </c>
      <c r="N657" s="1">
        <v>46203</v>
      </c>
      <c r="O657">
        <v>8245.5</v>
      </c>
    </row>
    <row r="658" spans="1:15" x14ac:dyDescent="0.3">
      <c r="A658" t="s">
        <v>705</v>
      </c>
      <c r="B658" s="1">
        <v>45899</v>
      </c>
      <c r="C658" t="s">
        <v>625</v>
      </c>
      <c r="D658" t="s">
        <v>49</v>
      </c>
      <c r="E658" t="s">
        <v>28</v>
      </c>
      <c r="F658" t="s">
        <v>51</v>
      </c>
      <c r="G658" t="s">
        <v>39</v>
      </c>
      <c r="H658" t="s">
        <v>45</v>
      </c>
      <c r="I658">
        <v>10</v>
      </c>
      <c r="J658">
        <v>469.35</v>
      </c>
      <c r="K658">
        <v>4693.5</v>
      </c>
      <c r="L658" t="s">
        <v>22</v>
      </c>
      <c r="M658" t="s">
        <v>22</v>
      </c>
      <c r="N658" s="1">
        <v>46203</v>
      </c>
      <c r="O658">
        <v>4693.5</v>
      </c>
    </row>
    <row r="659" spans="1:15" x14ac:dyDescent="0.3">
      <c r="A659" t="s">
        <v>706</v>
      </c>
      <c r="B659" s="1">
        <v>45900</v>
      </c>
      <c r="C659" t="s">
        <v>625</v>
      </c>
      <c r="D659" t="s">
        <v>49</v>
      </c>
      <c r="E659" t="s">
        <v>50</v>
      </c>
      <c r="F659" t="s">
        <v>29</v>
      </c>
      <c r="G659" t="s">
        <v>39</v>
      </c>
      <c r="H659" t="s">
        <v>34</v>
      </c>
      <c r="I659">
        <v>4</v>
      </c>
      <c r="J659">
        <v>510.25</v>
      </c>
      <c r="K659">
        <v>2041</v>
      </c>
      <c r="L659" t="s">
        <v>30</v>
      </c>
      <c r="M659" t="s">
        <v>43</v>
      </c>
      <c r="N659" s="1">
        <v>46032</v>
      </c>
      <c r="O659">
        <v>2041</v>
      </c>
    </row>
    <row r="660" spans="1:15" x14ac:dyDescent="0.3">
      <c r="A660" t="s">
        <v>707</v>
      </c>
      <c r="B660" s="1">
        <v>45900</v>
      </c>
      <c r="C660" t="s">
        <v>625</v>
      </c>
      <c r="D660" t="s">
        <v>24</v>
      </c>
      <c r="E660" t="s">
        <v>28</v>
      </c>
      <c r="F660" t="s">
        <v>33</v>
      </c>
      <c r="G660" t="s">
        <v>20</v>
      </c>
      <c r="H660" t="s">
        <v>21</v>
      </c>
      <c r="I660">
        <v>10</v>
      </c>
      <c r="J660">
        <v>896.98</v>
      </c>
      <c r="K660">
        <v>8969.7999999999993</v>
      </c>
      <c r="L660" t="s">
        <v>22</v>
      </c>
      <c r="M660" t="s">
        <v>22</v>
      </c>
      <c r="N660" s="1">
        <v>46203</v>
      </c>
      <c r="O660">
        <v>8969.7999999999993</v>
      </c>
    </row>
    <row r="661" spans="1:15" x14ac:dyDescent="0.3">
      <c r="A661" t="s">
        <v>708</v>
      </c>
      <c r="B661" s="1">
        <v>45900</v>
      </c>
      <c r="C661" t="s">
        <v>625</v>
      </c>
      <c r="D661" t="s">
        <v>24</v>
      </c>
      <c r="E661" t="s">
        <v>25</v>
      </c>
      <c r="F661" t="s">
        <v>29</v>
      </c>
      <c r="G661" t="s">
        <v>39</v>
      </c>
      <c r="H661" t="s">
        <v>40</v>
      </c>
      <c r="I661">
        <v>7</v>
      </c>
      <c r="J661">
        <v>877.16</v>
      </c>
      <c r="K661">
        <v>6140.12</v>
      </c>
      <c r="L661" t="s">
        <v>30</v>
      </c>
      <c r="M661" t="s">
        <v>36</v>
      </c>
      <c r="N661" s="1">
        <v>46123</v>
      </c>
      <c r="O661">
        <v>6140.12</v>
      </c>
    </row>
    <row r="662" spans="1:15" x14ac:dyDescent="0.3">
      <c r="A662" t="s">
        <v>709</v>
      </c>
      <c r="B662" s="1">
        <v>45900</v>
      </c>
      <c r="C662" t="s">
        <v>625</v>
      </c>
      <c r="D662" t="s">
        <v>49</v>
      </c>
      <c r="E662" t="s">
        <v>25</v>
      </c>
      <c r="F662" t="s">
        <v>29</v>
      </c>
      <c r="G662" t="s">
        <v>39</v>
      </c>
      <c r="H662" t="s">
        <v>21</v>
      </c>
      <c r="I662">
        <v>3</v>
      </c>
      <c r="J662">
        <v>508.78</v>
      </c>
      <c r="K662">
        <v>1526.34</v>
      </c>
      <c r="L662" t="s">
        <v>30</v>
      </c>
      <c r="M662" t="s">
        <v>41</v>
      </c>
      <c r="N662" s="1">
        <v>45988</v>
      </c>
      <c r="O662">
        <v>1526.34</v>
      </c>
    </row>
    <row r="663" spans="1:15" x14ac:dyDescent="0.3">
      <c r="A663" t="s">
        <v>710</v>
      </c>
      <c r="B663" s="1">
        <v>45900</v>
      </c>
      <c r="C663" t="s">
        <v>625</v>
      </c>
      <c r="D663" t="s">
        <v>17</v>
      </c>
      <c r="E663" t="s">
        <v>28</v>
      </c>
      <c r="F663" t="s">
        <v>29</v>
      </c>
      <c r="G663" t="s">
        <v>26</v>
      </c>
      <c r="H663" t="s">
        <v>45</v>
      </c>
      <c r="I663">
        <v>10</v>
      </c>
      <c r="J663">
        <v>1353.72</v>
      </c>
      <c r="K663">
        <v>13537.2</v>
      </c>
      <c r="L663" t="s">
        <v>22</v>
      </c>
      <c r="M663" t="s">
        <v>22</v>
      </c>
      <c r="N663" s="1">
        <v>46203</v>
      </c>
      <c r="O663">
        <v>13537.2</v>
      </c>
    </row>
    <row r="664" spans="1:15" x14ac:dyDescent="0.3">
      <c r="A664" t="s">
        <v>711</v>
      </c>
      <c r="B664" s="1">
        <v>45900</v>
      </c>
      <c r="C664" t="s">
        <v>625</v>
      </c>
      <c r="D664" t="s">
        <v>24</v>
      </c>
      <c r="E664" t="s">
        <v>18</v>
      </c>
      <c r="F664" t="s">
        <v>19</v>
      </c>
      <c r="G664" t="s">
        <v>39</v>
      </c>
      <c r="H664" t="s">
        <v>34</v>
      </c>
      <c r="I664">
        <v>10</v>
      </c>
      <c r="J664">
        <v>837.92</v>
      </c>
      <c r="K664">
        <v>8379.2000000000007</v>
      </c>
      <c r="L664" t="s">
        <v>22</v>
      </c>
      <c r="M664" t="s">
        <v>22</v>
      </c>
      <c r="N664" s="1">
        <v>46203</v>
      </c>
      <c r="O664">
        <v>8379.2000000000007</v>
      </c>
    </row>
    <row r="665" spans="1:15" x14ac:dyDescent="0.3">
      <c r="A665" t="s">
        <v>712</v>
      </c>
      <c r="B665" s="1">
        <v>45901</v>
      </c>
      <c r="C665" t="s">
        <v>713</v>
      </c>
      <c r="D665" t="s">
        <v>24</v>
      </c>
      <c r="E665" t="s">
        <v>28</v>
      </c>
      <c r="F665" t="s">
        <v>51</v>
      </c>
      <c r="G665" t="s">
        <v>39</v>
      </c>
      <c r="H665" t="s">
        <v>45</v>
      </c>
      <c r="I665">
        <v>10</v>
      </c>
      <c r="J665">
        <v>865.16</v>
      </c>
      <c r="K665">
        <v>8651.6</v>
      </c>
      <c r="L665" t="s">
        <v>22</v>
      </c>
      <c r="M665" t="s">
        <v>22</v>
      </c>
      <c r="N665" s="1">
        <v>46203</v>
      </c>
      <c r="O665">
        <v>8651.6</v>
      </c>
    </row>
    <row r="666" spans="1:15" x14ac:dyDescent="0.3">
      <c r="A666" t="s">
        <v>714</v>
      </c>
      <c r="B666" s="1">
        <v>45901</v>
      </c>
      <c r="C666" t="s">
        <v>713</v>
      </c>
      <c r="D666" t="s">
        <v>49</v>
      </c>
      <c r="E666" t="s">
        <v>25</v>
      </c>
      <c r="F666" t="s">
        <v>33</v>
      </c>
      <c r="G666" t="s">
        <v>39</v>
      </c>
      <c r="H666" t="s">
        <v>40</v>
      </c>
      <c r="I666">
        <v>4</v>
      </c>
      <c r="J666">
        <v>500.37</v>
      </c>
      <c r="K666">
        <v>2001.48</v>
      </c>
      <c r="L666" t="s">
        <v>30</v>
      </c>
      <c r="M666" t="s">
        <v>43</v>
      </c>
      <c r="N666" s="1">
        <v>46019</v>
      </c>
      <c r="O666">
        <v>2001.48</v>
      </c>
    </row>
    <row r="667" spans="1:15" x14ac:dyDescent="0.3">
      <c r="A667" t="s">
        <v>715</v>
      </c>
      <c r="B667" s="1">
        <v>45902</v>
      </c>
      <c r="C667" t="s">
        <v>713</v>
      </c>
      <c r="D667" t="s">
        <v>24</v>
      </c>
      <c r="E667" t="s">
        <v>50</v>
      </c>
      <c r="F667" t="s">
        <v>19</v>
      </c>
      <c r="G667" t="s">
        <v>39</v>
      </c>
      <c r="H667" t="s">
        <v>21</v>
      </c>
      <c r="I667">
        <v>5</v>
      </c>
      <c r="J667">
        <v>900.43</v>
      </c>
      <c r="K667">
        <v>4502.1499999999996</v>
      </c>
      <c r="L667" t="s">
        <v>30</v>
      </c>
      <c r="M667" t="s">
        <v>36</v>
      </c>
      <c r="N667" s="1">
        <v>46068</v>
      </c>
      <c r="O667">
        <v>4502.1499999999996</v>
      </c>
    </row>
    <row r="668" spans="1:15" x14ac:dyDescent="0.3">
      <c r="A668" t="s">
        <v>716</v>
      </c>
      <c r="B668" s="1">
        <v>45902</v>
      </c>
      <c r="C668" t="s">
        <v>713</v>
      </c>
      <c r="D668" t="s">
        <v>24</v>
      </c>
      <c r="E668" t="s">
        <v>50</v>
      </c>
      <c r="F668" t="s">
        <v>29</v>
      </c>
      <c r="G668" t="s">
        <v>39</v>
      </c>
      <c r="H668" t="s">
        <v>40</v>
      </c>
      <c r="I668">
        <v>10</v>
      </c>
      <c r="J668">
        <v>843.14</v>
      </c>
      <c r="K668">
        <v>8431.4</v>
      </c>
      <c r="L668" t="s">
        <v>22</v>
      </c>
      <c r="M668" t="s">
        <v>22</v>
      </c>
      <c r="N668" s="1">
        <v>46203</v>
      </c>
      <c r="O668">
        <v>8431.4</v>
      </c>
    </row>
    <row r="669" spans="1:15" x14ac:dyDescent="0.3">
      <c r="A669" t="s">
        <v>717</v>
      </c>
      <c r="B669" s="1">
        <v>45902</v>
      </c>
      <c r="C669" t="s">
        <v>713</v>
      </c>
      <c r="D669" t="s">
        <v>49</v>
      </c>
      <c r="E669" t="s">
        <v>50</v>
      </c>
      <c r="F669" t="s">
        <v>33</v>
      </c>
      <c r="G669" t="s">
        <v>39</v>
      </c>
      <c r="H669" t="s">
        <v>40</v>
      </c>
      <c r="I669">
        <v>10</v>
      </c>
      <c r="J669">
        <v>456.59</v>
      </c>
      <c r="K669">
        <v>4565.8999999999996</v>
      </c>
      <c r="L669" t="s">
        <v>22</v>
      </c>
      <c r="M669" t="s">
        <v>22</v>
      </c>
      <c r="N669" s="1">
        <v>46203</v>
      </c>
      <c r="O669">
        <v>4565.8999999999996</v>
      </c>
    </row>
    <row r="670" spans="1:15" x14ac:dyDescent="0.3">
      <c r="A670" t="s">
        <v>718</v>
      </c>
      <c r="B670" s="1">
        <v>45902</v>
      </c>
      <c r="C670" t="s">
        <v>713</v>
      </c>
      <c r="D670" t="s">
        <v>24</v>
      </c>
      <c r="E670" t="s">
        <v>25</v>
      </c>
      <c r="F670" t="s">
        <v>19</v>
      </c>
      <c r="G670" t="s">
        <v>26</v>
      </c>
      <c r="H670" t="s">
        <v>45</v>
      </c>
      <c r="I670">
        <v>10</v>
      </c>
      <c r="J670">
        <v>892.71</v>
      </c>
      <c r="K670">
        <v>8927.1</v>
      </c>
      <c r="L670" t="s">
        <v>22</v>
      </c>
      <c r="M670" t="s">
        <v>22</v>
      </c>
      <c r="N670" s="1">
        <v>46203</v>
      </c>
      <c r="O670">
        <v>8927.1</v>
      </c>
    </row>
    <row r="671" spans="1:15" x14ac:dyDescent="0.3">
      <c r="A671" t="s">
        <v>719</v>
      </c>
      <c r="B671" s="1">
        <v>45902</v>
      </c>
      <c r="C671" t="s">
        <v>713</v>
      </c>
      <c r="D671" t="s">
        <v>49</v>
      </c>
      <c r="E671" t="s">
        <v>50</v>
      </c>
      <c r="F671" t="s">
        <v>51</v>
      </c>
      <c r="G671" t="s">
        <v>39</v>
      </c>
      <c r="H671" t="s">
        <v>21</v>
      </c>
      <c r="I671">
        <v>10</v>
      </c>
      <c r="J671">
        <v>524.16</v>
      </c>
      <c r="K671">
        <v>5241.6000000000004</v>
      </c>
      <c r="L671" t="s">
        <v>22</v>
      </c>
      <c r="M671" t="s">
        <v>22</v>
      </c>
      <c r="N671" s="1">
        <v>46203</v>
      </c>
      <c r="O671">
        <v>5241.6000000000004</v>
      </c>
    </row>
    <row r="672" spans="1:15" x14ac:dyDescent="0.3">
      <c r="A672" t="s">
        <v>720</v>
      </c>
      <c r="B672" s="1">
        <v>45903</v>
      </c>
      <c r="C672" t="s">
        <v>713</v>
      </c>
      <c r="D672" t="s">
        <v>49</v>
      </c>
      <c r="E672" t="s">
        <v>28</v>
      </c>
      <c r="F672" t="s">
        <v>38</v>
      </c>
      <c r="G672" t="s">
        <v>39</v>
      </c>
      <c r="H672" t="s">
        <v>34</v>
      </c>
      <c r="I672">
        <v>2</v>
      </c>
      <c r="J672">
        <v>456.55</v>
      </c>
      <c r="K672">
        <v>913.1</v>
      </c>
      <c r="L672" t="s">
        <v>30</v>
      </c>
      <c r="M672" t="s">
        <v>80</v>
      </c>
      <c r="N672" s="1">
        <v>45950</v>
      </c>
      <c r="O672">
        <v>913.1</v>
      </c>
    </row>
    <row r="673" spans="1:15" x14ac:dyDescent="0.3">
      <c r="A673" t="s">
        <v>721</v>
      </c>
      <c r="B673" s="1">
        <v>45905</v>
      </c>
      <c r="C673" t="s">
        <v>713</v>
      </c>
      <c r="D673" t="s">
        <v>24</v>
      </c>
      <c r="E673" t="s">
        <v>50</v>
      </c>
      <c r="F673" t="s">
        <v>29</v>
      </c>
      <c r="G673" t="s">
        <v>20</v>
      </c>
      <c r="H673" t="s">
        <v>40</v>
      </c>
      <c r="I673">
        <v>10</v>
      </c>
      <c r="J673">
        <v>814.91</v>
      </c>
      <c r="K673">
        <v>8149.1</v>
      </c>
      <c r="L673" t="s">
        <v>22</v>
      </c>
      <c r="M673" t="s">
        <v>22</v>
      </c>
      <c r="N673" s="1">
        <v>46203</v>
      </c>
      <c r="O673">
        <v>8149.1</v>
      </c>
    </row>
    <row r="674" spans="1:15" x14ac:dyDescent="0.3">
      <c r="A674" t="s">
        <v>722</v>
      </c>
      <c r="B674" s="1">
        <v>45905</v>
      </c>
      <c r="C674" t="s">
        <v>713</v>
      </c>
      <c r="D674" t="s">
        <v>24</v>
      </c>
      <c r="E674" t="s">
        <v>25</v>
      </c>
      <c r="F674" t="s">
        <v>29</v>
      </c>
      <c r="G674" t="s">
        <v>39</v>
      </c>
      <c r="H674" t="s">
        <v>34</v>
      </c>
      <c r="I674">
        <v>10</v>
      </c>
      <c r="J674">
        <v>929.73</v>
      </c>
      <c r="K674">
        <v>9297.2999999999993</v>
      </c>
      <c r="L674" t="s">
        <v>22</v>
      </c>
      <c r="M674" t="s">
        <v>22</v>
      </c>
      <c r="N674" s="1">
        <v>46203</v>
      </c>
      <c r="O674">
        <v>9297.2999999999993</v>
      </c>
    </row>
    <row r="675" spans="1:15" x14ac:dyDescent="0.3">
      <c r="A675" t="s">
        <v>723</v>
      </c>
      <c r="B675" s="1">
        <v>45905</v>
      </c>
      <c r="C675" t="s">
        <v>713</v>
      </c>
      <c r="D675" t="s">
        <v>49</v>
      </c>
      <c r="E675" t="s">
        <v>25</v>
      </c>
      <c r="F675" t="s">
        <v>38</v>
      </c>
      <c r="G675" t="s">
        <v>39</v>
      </c>
      <c r="H675" t="s">
        <v>21</v>
      </c>
      <c r="I675">
        <v>10</v>
      </c>
      <c r="J675">
        <v>463.36</v>
      </c>
      <c r="K675">
        <v>4633.6000000000004</v>
      </c>
      <c r="L675" t="s">
        <v>22</v>
      </c>
      <c r="M675" t="s">
        <v>22</v>
      </c>
      <c r="N675" s="1">
        <v>46203</v>
      </c>
      <c r="O675">
        <v>4633.6000000000004</v>
      </c>
    </row>
    <row r="676" spans="1:15" x14ac:dyDescent="0.3">
      <c r="A676" t="s">
        <v>724</v>
      </c>
      <c r="B676" s="1">
        <v>45905</v>
      </c>
      <c r="C676" t="s">
        <v>713</v>
      </c>
      <c r="D676" t="s">
        <v>17</v>
      </c>
      <c r="E676" t="s">
        <v>25</v>
      </c>
      <c r="F676" t="s">
        <v>33</v>
      </c>
      <c r="G676" t="s">
        <v>39</v>
      </c>
      <c r="H676" t="s">
        <v>34</v>
      </c>
      <c r="I676">
        <v>10</v>
      </c>
      <c r="J676">
        <v>1527.36</v>
      </c>
      <c r="K676">
        <v>15273.6</v>
      </c>
      <c r="L676" t="s">
        <v>22</v>
      </c>
      <c r="M676" t="s">
        <v>22</v>
      </c>
      <c r="N676" s="1">
        <v>46203</v>
      </c>
      <c r="O676">
        <v>15273.6</v>
      </c>
    </row>
    <row r="677" spans="1:15" x14ac:dyDescent="0.3">
      <c r="A677" t="s">
        <v>725</v>
      </c>
      <c r="B677" s="1">
        <v>45906</v>
      </c>
      <c r="C677" t="s">
        <v>713</v>
      </c>
      <c r="D677" t="s">
        <v>49</v>
      </c>
      <c r="E677" t="s">
        <v>25</v>
      </c>
      <c r="F677" t="s">
        <v>29</v>
      </c>
      <c r="G677" t="s">
        <v>20</v>
      </c>
      <c r="H677" t="s">
        <v>45</v>
      </c>
      <c r="I677">
        <v>10</v>
      </c>
      <c r="J677">
        <v>499.21</v>
      </c>
      <c r="K677">
        <v>4992.1000000000004</v>
      </c>
      <c r="L677" t="s">
        <v>22</v>
      </c>
      <c r="M677" t="s">
        <v>22</v>
      </c>
      <c r="N677" s="1">
        <v>46203</v>
      </c>
      <c r="O677">
        <v>4992.1000000000004</v>
      </c>
    </row>
    <row r="678" spans="1:15" x14ac:dyDescent="0.3">
      <c r="A678" t="s">
        <v>726</v>
      </c>
      <c r="B678" s="1">
        <v>45906</v>
      </c>
      <c r="C678" t="s">
        <v>713</v>
      </c>
      <c r="D678" t="s">
        <v>24</v>
      </c>
      <c r="E678" t="s">
        <v>25</v>
      </c>
      <c r="F678" t="s">
        <v>29</v>
      </c>
      <c r="G678" t="s">
        <v>39</v>
      </c>
      <c r="H678" t="s">
        <v>40</v>
      </c>
      <c r="I678">
        <v>10</v>
      </c>
      <c r="J678">
        <v>961.31</v>
      </c>
      <c r="K678">
        <v>9613.1</v>
      </c>
      <c r="L678" t="s">
        <v>22</v>
      </c>
      <c r="M678" t="s">
        <v>22</v>
      </c>
      <c r="N678" s="1">
        <v>46203</v>
      </c>
      <c r="O678">
        <v>9613.1</v>
      </c>
    </row>
    <row r="679" spans="1:15" x14ac:dyDescent="0.3">
      <c r="A679" t="s">
        <v>727</v>
      </c>
      <c r="B679" s="1">
        <v>45907</v>
      </c>
      <c r="C679" t="s">
        <v>713</v>
      </c>
      <c r="D679" t="s">
        <v>24</v>
      </c>
      <c r="E679" t="s">
        <v>50</v>
      </c>
      <c r="F679" t="s">
        <v>33</v>
      </c>
      <c r="G679" t="s">
        <v>39</v>
      </c>
      <c r="H679" t="s">
        <v>34</v>
      </c>
      <c r="I679">
        <v>8</v>
      </c>
      <c r="J679">
        <v>835.94</v>
      </c>
      <c r="K679">
        <v>6687.52</v>
      </c>
      <c r="L679" t="s">
        <v>30</v>
      </c>
      <c r="M679" t="s">
        <v>31</v>
      </c>
      <c r="N679" s="1">
        <v>46143</v>
      </c>
      <c r="O679">
        <v>6687.52</v>
      </c>
    </row>
    <row r="680" spans="1:15" x14ac:dyDescent="0.3">
      <c r="A680" t="s">
        <v>728</v>
      </c>
      <c r="B680" s="1">
        <v>45907</v>
      </c>
      <c r="C680" t="s">
        <v>713</v>
      </c>
      <c r="D680" t="s">
        <v>49</v>
      </c>
      <c r="E680" t="s">
        <v>18</v>
      </c>
      <c r="F680" t="s">
        <v>51</v>
      </c>
      <c r="G680" t="s">
        <v>39</v>
      </c>
      <c r="H680" t="s">
        <v>40</v>
      </c>
      <c r="I680">
        <v>10</v>
      </c>
      <c r="J680">
        <v>503.55</v>
      </c>
      <c r="K680">
        <v>5035.5</v>
      </c>
      <c r="L680" t="s">
        <v>22</v>
      </c>
      <c r="M680" t="s">
        <v>22</v>
      </c>
      <c r="N680" s="1">
        <v>46203</v>
      </c>
      <c r="O680">
        <v>5035.5</v>
      </c>
    </row>
    <row r="681" spans="1:15" x14ac:dyDescent="0.3">
      <c r="A681" t="s">
        <v>729</v>
      </c>
      <c r="B681" s="1">
        <v>45907</v>
      </c>
      <c r="C681" t="s">
        <v>713</v>
      </c>
      <c r="D681" t="s">
        <v>24</v>
      </c>
      <c r="E681" t="s">
        <v>25</v>
      </c>
      <c r="F681" t="s">
        <v>29</v>
      </c>
      <c r="G681" t="s">
        <v>20</v>
      </c>
      <c r="H681" t="s">
        <v>21</v>
      </c>
      <c r="I681">
        <v>10</v>
      </c>
      <c r="J681">
        <v>883.49</v>
      </c>
      <c r="K681">
        <v>8834.9</v>
      </c>
      <c r="L681" t="s">
        <v>22</v>
      </c>
      <c r="M681" t="s">
        <v>22</v>
      </c>
      <c r="N681" s="1">
        <v>46203</v>
      </c>
      <c r="O681">
        <v>8834.9</v>
      </c>
    </row>
    <row r="682" spans="1:15" x14ac:dyDescent="0.3">
      <c r="A682" t="s">
        <v>730</v>
      </c>
      <c r="B682" s="1">
        <v>45907</v>
      </c>
      <c r="C682" t="s">
        <v>713</v>
      </c>
      <c r="D682" t="s">
        <v>24</v>
      </c>
      <c r="E682" t="s">
        <v>28</v>
      </c>
      <c r="F682" t="s">
        <v>19</v>
      </c>
      <c r="G682" t="s">
        <v>39</v>
      </c>
      <c r="H682" t="s">
        <v>21</v>
      </c>
      <c r="I682">
        <v>10</v>
      </c>
      <c r="J682">
        <v>980.28</v>
      </c>
      <c r="K682">
        <v>9802.7999999999993</v>
      </c>
      <c r="L682" t="s">
        <v>22</v>
      </c>
      <c r="M682" t="s">
        <v>22</v>
      </c>
      <c r="N682" s="1">
        <v>46203</v>
      </c>
      <c r="O682">
        <v>9802.7999999999993</v>
      </c>
    </row>
    <row r="683" spans="1:15" x14ac:dyDescent="0.3">
      <c r="A683" t="s">
        <v>731</v>
      </c>
      <c r="B683" s="1">
        <v>45908</v>
      </c>
      <c r="C683" t="s">
        <v>713</v>
      </c>
      <c r="D683" t="s">
        <v>17</v>
      </c>
      <c r="E683" t="s">
        <v>25</v>
      </c>
      <c r="F683" t="s">
        <v>29</v>
      </c>
      <c r="G683" t="s">
        <v>20</v>
      </c>
      <c r="H683" t="s">
        <v>21</v>
      </c>
      <c r="I683">
        <v>10</v>
      </c>
      <c r="J683">
        <v>1472.49</v>
      </c>
      <c r="K683">
        <v>14724.9</v>
      </c>
      <c r="L683" t="s">
        <v>22</v>
      </c>
      <c r="M683" t="s">
        <v>22</v>
      </c>
      <c r="N683" s="1">
        <v>46203</v>
      </c>
      <c r="O683">
        <v>14724.9</v>
      </c>
    </row>
    <row r="684" spans="1:15" x14ac:dyDescent="0.3">
      <c r="A684" t="s">
        <v>732</v>
      </c>
      <c r="B684" s="1">
        <v>45908</v>
      </c>
      <c r="C684" t="s">
        <v>713</v>
      </c>
      <c r="D684" t="s">
        <v>49</v>
      </c>
      <c r="E684" t="s">
        <v>18</v>
      </c>
      <c r="F684" t="s">
        <v>29</v>
      </c>
      <c r="G684" t="s">
        <v>39</v>
      </c>
      <c r="H684" t="s">
        <v>40</v>
      </c>
      <c r="I684">
        <v>4</v>
      </c>
      <c r="J684">
        <v>545.76</v>
      </c>
      <c r="K684">
        <v>2183.04</v>
      </c>
      <c r="L684" t="s">
        <v>30</v>
      </c>
      <c r="M684" t="s">
        <v>43</v>
      </c>
      <c r="N684" s="1">
        <v>46039</v>
      </c>
      <c r="O684">
        <v>2183.04</v>
      </c>
    </row>
    <row r="685" spans="1:15" x14ac:dyDescent="0.3">
      <c r="A685" t="s">
        <v>733</v>
      </c>
      <c r="B685" s="1">
        <v>45908</v>
      </c>
      <c r="C685" t="s">
        <v>713</v>
      </c>
      <c r="D685" t="s">
        <v>49</v>
      </c>
      <c r="E685" t="s">
        <v>28</v>
      </c>
      <c r="F685" t="s">
        <v>38</v>
      </c>
      <c r="G685" t="s">
        <v>39</v>
      </c>
      <c r="H685" t="s">
        <v>40</v>
      </c>
      <c r="I685">
        <v>10</v>
      </c>
      <c r="J685">
        <v>473.74</v>
      </c>
      <c r="K685">
        <v>4737.3999999999996</v>
      </c>
      <c r="L685" t="s">
        <v>22</v>
      </c>
      <c r="M685" t="s">
        <v>22</v>
      </c>
      <c r="N685" s="1">
        <v>46203</v>
      </c>
      <c r="O685">
        <v>4737.3999999999996</v>
      </c>
    </row>
    <row r="686" spans="1:15" x14ac:dyDescent="0.3">
      <c r="A686" t="s">
        <v>734</v>
      </c>
      <c r="B686" s="1">
        <v>45908</v>
      </c>
      <c r="C686" t="s">
        <v>713</v>
      </c>
      <c r="D686" t="s">
        <v>17</v>
      </c>
      <c r="E686" t="s">
        <v>25</v>
      </c>
      <c r="F686" t="s">
        <v>19</v>
      </c>
      <c r="G686" t="s">
        <v>39</v>
      </c>
      <c r="H686" t="s">
        <v>34</v>
      </c>
      <c r="I686">
        <v>10</v>
      </c>
      <c r="J686">
        <v>1446.83</v>
      </c>
      <c r="K686">
        <v>14468.3</v>
      </c>
      <c r="L686" t="s">
        <v>22</v>
      </c>
      <c r="M686" t="s">
        <v>22</v>
      </c>
      <c r="N686" s="1">
        <v>46203</v>
      </c>
      <c r="O686">
        <v>14468.3</v>
      </c>
    </row>
    <row r="687" spans="1:15" x14ac:dyDescent="0.3">
      <c r="A687" t="s">
        <v>735</v>
      </c>
      <c r="B687" s="1">
        <v>45909</v>
      </c>
      <c r="C687" t="s">
        <v>713</v>
      </c>
      <c r="D687" t="s">
        <v>24</v>
      </c>
      <c r="E687" t="s">
        <v>25</v>
      </c>
      <c r="F687" t="s">
        <v>29</v>
      </c>
      <c r="G687" t="s">
        <v>39</v>
      </c>
      <c r="H687" t="s">
        <v>34</v>
      </c>
      <c r="I687">
        <v>10</v>
      </c>
      <c r="J687">
        <v>897.49</v>
      </c>
      <c r="K687">
        <v>8974.9</v>
      </c>
      <c r="L687" t="s">
        <v>22</v>
      </c>
      <c r="M687" t="s">
        <v>22</v>
      </c>
      <c r="N687" s="1">
        <v>46203</v>
      </c>
      <c r="O687">
        <v>8974.9</v>
      </c>
    </row>
    <row r="688" spans="1:15" x14ac:dyDescent="0.3">
      <c r="A688" t="s">
        <v>736</v>
      </c>
      <c r="B688" s="1">
        <v>45910</v>
      </c>
      <c r="C688" t="s">
        <v>713</v>
      </c>
      <c r="D688" t="s">
        <v>49</v>
      </c>
      <c r="E688" t="s">
        <v>50</v>
      </c>
      <c r="F688" t="s">
        <v>29</v>
      </c>
      <c r="G688" t="s">
        <v>39</v>
      </c>
      <c r="H688" t="s">
        <v>21</v>
      </c>
      <c r="I688">
        <v>10</v>
      </c>
      <c r="J688">
        <v>498.49</v>
      </c>
      <c r="K688">
        <v>4984.8999999999996</v>
      </c>
      <c r="L688" t="s">
        <v>22</v>
      </c>
      <c r="M688" t="s">
        <v>22</v>
      </c>
      <c r="N688" s="1">
        <v>46203</v>
      </c>
      <c r="O688">
        <v>4984.8999999999996</v>
      </c>
    </row>
    <row r="689" spans="1:15" x14ac:dyDescent="0.3">
      <c r="A689" t="s">
        <v>737</v>
      </c>
      <c r="B689" s="1">
        <v>45911</v>
      </c>
      <c r="C689" t="s">
        <v>713</v>
      </c>
      <c r="D689" t="s">
        <v>17</v>
      </c>
      <c r="E689" t="s">
        <v>25</v>
      </c>
      <c r="F689" t="s">
        <v>33</v>
      </c>
      <c r="G689" t="s">
        <v>20</v>
      </c>
      <c r="H689" t="s">
        <v>21</v>
      </c>
      <c r="I689">
        <v>10</v>
      </c>
      <c r="J689">
        <v>1351.9</v>
      </c>
      <c r="K689">
        <v>13519</v>
      </c>
      <c r="L689" t="s">
        <v>22</v>
      </c>
      <c r="M689" t="s">
        <v>22</v>
      </c>
      <c r="N689" s="1">
        <v>46203</v>
      </c>
      <c r="O689">
        <v>13519</v>
      </c>
    </row>
    <row r="690" spans="1:15" x14ac:dyDescent="0.3">
      <c r="A690" t="s">
        <v>738</v>
      </c>
      <c r="B690" s="1">
        <v>45911</v>
      </c>
      <c r="C690" t="s">
        <v>713</v>
      </c>
      <c r="D690" t="s">
        <v>17</v>
      </c>
      <c r="E690" t="s">
        <v>25</v>
      </c>
      <c r="F690" t="s">
        <v>19</v>
      </c>
      <c r="G690" t="s">
        <v>39</v>
      </c>
      <c r="H690" t="s">
        <v>34</v>
      </c>
      <c r="I690">
        <v>10</v>
      </c>
      <c r="J690">
        <v>1544.68</v>
      </c>
      <c r="K690">
        <v>15446.8</v>
      </c>
      <c r="L690" t="s">
        <v>22</v>
      </c>
      <c r="M690" t="s">
        <v>22</v>
      </c>
      <c r="N690" s="1">
        <v>46203</v>
      </c>
      <c r="O690">
        <v>15446.8</v>
      </c>
    </row>
    <row r="691" spans="1:15" x14ac:dyDescent="0.3">
      <c r="A691" t="s">
        <v>739</v>
      </c>
      <c r="B691" s="1">
        <v>45912</v>
      </c>
      <c r="C691" t="s">
        <v>713</v>
      </c>
      <c r="D691" t="s">
        <v>24</v>
      </c>
      <c r="E691" t="s">
        <v>18</v>
      </c>
      <c r="F691" t="s">
        <v>29</v>
      </c>
      <c r="G691" t="s">
        <v>39</v>
      </c>
      <c r="H691" t="s">
        <v>45</v>
      </c>
      <c r="I691">
        <v>6</v>
      </c>
      <c r="J691">
        <v>873.65</v>
      </c>
      <c r="K691">
        <v>5241.8999999999996</v>
      </c>
      <c r="L691" t="s">
        <v>30</v>
      </c>
      <c r="M691" t="s">
        <v>31</v>
      </c>
      <c r="N691" s="1">
        <v>46108</v>
      </c>
      <c r="O691">
        <v>5241.8999999999996</v>
      </c>
    </row>
    <row r="692" spans="1:15" x14ac:dyDescent="0.3">
      <c r="A692" t="s">
        <v>740</v>
      </c>
      <c r="B692" s="1">
        <v>45912</v>
      </c>
      <c r="C692" t="s">
        <v>713</v>
      </c>
      <c r="D692" t="s">
        <v>17</v>
      </c>
      <c r="E692" t="s">
        <v>28</v>
      </c>
      <c r="F692" t="s">
        <v>51</v>
      </c>
      <c r="G692" t="s">
        <v>20</v>
      </c>
      <c r="H692" t="s">
        <v>21</v>
      </c>
      <c r="I692">
        <v>5</v>
      </c>
      <c r="J692">
        <v>1469.03</v>
      </c>
      <c r="K692">
        <v>7345.15</v>
      </c>
      <c r="L692" t="s">
        <v>30</v>
      </c>
      <c r="M692" t="s">
        <v>31</v>
      </c>
      <c r="N692" s="1">
        <v>46073</v>
      </c>
      <c r="O692">
        <v>7345.15</v>
      </c>
    </row>
    <row r="693" spans="1:15" x14ac:dyDescent="0.3">
      <c r="A693" t="s">
        <v>741</v>
      </c>
      <c r="B693" s="1">
        <v>45912</v>
      </c>
      <c r="C693" t="s">
        <v>713</v>
      </c>
      <c r="D693" t="s">
        <v>24</v>
      </c>
      <c r="E693" t="s">
        <v>18</v>
      </c>
      <c r="F693" t="s">
        <v>19</v>
      </c>
      <c r="G693" t="s">
        <v>20</v>
      </c>
      <c r="H693" t="s">
        <v>34</v>
      </c>
      <c r="I693">
        <v>10</v>
      </c>
      <c r="J693">
        <v>901.86</v>
      </c>
      <c r="K693">
        <v>9018.6</v>
      </c>
      <c r="L693" t="s">
        <v>22</v>
      </c>
      <c r="M693" t="s">
        <v>22</v>
      </c>
      <c r="N693" s="1">
        <v>46203</v>
      </c>
      <c r="O693">
        <v>9018.6</v>
      </c>
    </row>
    <row r="694" spans="1:15" x14ac:dyDescent="0.3">
      <c r="A694" t="s">
        <v>742</v>
      </c>
      <c r="B694" s="1">
        <v>45912</v>
      </c>
      <c r="C694" t="s">
        <v>713</v>
      </c>
      <c r="D694" t="s">
        <v>24</v>
      </c>
      <c r="E694" t="s">
        <v>25</v>
      </c>
      <c r="F694" t="s">
        <v>19</v>
      </c>
      <c r="G694" t="s">
        <v>39</v>
      </c>
      <c r="H694" t="s">
        <v>34</v>
      </c>
      <c r="I694">
        <v>10</v>
      </c>
      <c r="J694">
        <v>914.11</v>
      </c>
      <c r="K694">
        <v>9141.1</v>
      </c>
      <c r="L694" t="s">
        <v>22</v>
      </c>
      <c r="M694" t="s">
        <v>22</v>
      </c>
      <c r="N694" s="1">
        <v>46203</v>
      </c>
      <c r="O694">
        <v>9141.1</v>
      </c>
    </row>
    <row r="695" spans="1:15" x14ac:dyDescent="0.3">
      <c r="A695" t="s">
        <v>743</v>
      </c>
      <c r="B695" s="1">
        <v>45912</v>
      </c>
      <c r="C695" t="s">
        <v>713</v>
      </c>
      <c r="D695" t="s">
        <v>17</v>
      </c>
      <c r="E695" t="s">
        <v>25</v>
      </c>
      <c r="F695" t="s">
        <v>19</v>
      </c>
      <c r="G695" t="s">
        <v>39</v>
      </c>
      <c r="H695" t="s">
        <v>40</v>
      </c>
      <c r="I695">
        <v>10</v>
      </c>
      <c r="J695">
        <v>1434.33</v>
      </c>
      <c r="K695">
        <v>14343.3</v>
      </c>
      <c r="L695" t="s">
        <v>22</v>
      </c>
      <c r="M695" t="s">
        <v>22</v>
      </c>
      <c r="N695" s="1">
        <v>46203</v>
      </c>
      <c r="O695">
        <v>14343.3</v>
      </c>
    </row>
    <row r="696" spans="1:15" x14ac:dyDescent="0.3">
      <c r="A696" t="s">
        <v>744</v>
      </c>
      <c r="B696" s="1">
        <v>45913</v>
      </c>
      <c r="C696" t="s">
        <v>713</v>
      </c>
      <c r="D696" t="s">
        <v>24</v>
      </c>
      <c r="E696" t="s">
        <v>18</v>
      </c>
      <c r="F696" t="s">
        <v>19</v>
      </c>
      <c r="G696" t="s">
        <v>26</v>
      </c>
      <c r="H696" t="s">
        <v>40</v>
      </c>
      <c r="I696">
        <v>10</v>
      </c>
      <c r="J696">
        <v>888.5</v>
      </c>
      <c r="K696">
        <v>8885</v>
      </c>
      <c r="L696" t="s">
        <v>22</v>
      </c>
      <c r="M696" t="s">
        <v>22</v>
      </c>
      <c r="N696" s="1">
        <v>46203</v>
      </c>
      <c r="O696">
        <v>8885</v>
      </c>
    </row>
    <row r="697" spans="1:15" x14ac:dyDescent="0.3">
      <c r="A697" t="s">
        <v>745</v>
      </c>
      <c r="B697" s="1">
        <v>45913</v>
      </c>
      <c r="C697" t="s">
        <v>713</v>
      </c>
      <c r="D697" t="s">
        <v>17</v>
      </c>
      <c r="E697" t="s">
        <v>25</v>
      </c>
      <c r="F697" t="s">
        <v>29</v>
      </c>
      <c r="G697" t="s">
        <v>20</v>
      </c>
      <c r="H697" t="s">
        <v>45</v>
      </c>
      <c r="I697">
        <v>10</v>
      </c>
      <c r="J697">
        <v>1528.51</v>
      </c>
      <c r="K697">
        <v>15285.1</v>
      </c>
      <c r="L697" t="s">
        <v>22</v>
      </c>
      <c r="M697" t="s">
        <v>22</v>
      </c>
      <c r="N697" s="1">
        <v>46203</v>
      </c>
      <c r="O697">
        <v>15285.1</v>
      </c>
    </row>
    <row r="698" spans="1:15" x14ac:dyDescent="0.3">
      <c r="A698" t="s">
        <v>746</v>
      </c>
      <c r="B698" s="1">
        <v>45913</v>
      </c>
      <c r="C698" t="s">
        <v>713</v>
      </c>
      <c r="D698" t="s">
        <v>24</v>
      </c>
      <c r="E698" t="s">
        <v>50</v>
      </c>
      <c r="F698" t="s">
        <v>29</v>
      </c>
      <c r="G698" t="s">
        <v>20</v>
      </c>
      <c r="H698" t="s">
        <v>34</v>
      </c>
      <c r="I698">
        <v>10</v>
      </c>
      <c r="J698">
        <v>980.02</v>
      </c>
      <c r="K698">
        <v>9800.2000000000007</v>
      </c>
      <c r="L698" t="s">
        <v>22</v>
      </c>
      <c r="M698" t="s">
        <v>22</v>
      </c>
      <c r="N698" s="1">
        <v>46203</v>
      </c>
      <c r="O698">
        <v>9800.2000000000007</v>
      </c>
    </row>
    <row r="699" spans="1:15" x14ac:dyDescent="0.3">
      <c r="A699" t="s">
        <v>747</v>
      </c>
      <c r="B699" s="1">
        <v>45913</v>
      </c>
      <c r="C699" t="s">
        <v>713</v>
      </c>
      <c r="D699" t="s">
        <v>17</v>
      </c>
      <c r="E699" t="s">
        <v>28</v>
      </c>
      <c r="F699" t="s">
        <v>38</v>
      </c>
      <c r="G699" t="s">
        <v>20</v>
      </c>
      <c r="H699" t="s">
        <v>21</v>
      </c>
      <c r="I699">
        <v>1</v>
      </c>
      <c r="J699">
        <v>1576.53</v>
      </c>
      <c r="K699">
        <v>1576.53</v>
      </c>
      <c r="L699" t="s">
        <v>30</v>
      </c>
      <c r="M699" t="s">
        <v>31</v>
      </c>
      <c r="N699" s="1">
        <v>45948</v>
      </c>
      <c r="O699">
        <v>1576.53</v>
      </c>
    </row>
    <row r="700" spans="1:15" x14ac:dyDescent="0.3">
      <c r="A700" t="s">
        <v>748</v>
      </c>
      <c r="B700" s="1">
        <v>45914</v>
      </c>
      <c r="C700" t="s">
        <v>713</v>
      </c>
      <c r="D700" t="s">
        <v>49</v>
      </c>
      <c r="E700" t="s">
        <v>18</v>
      </c>
      <c r="F700" t="s">
        <v>29</v>
      </c>
      <c r="G700" t="s">
        <v>20</v>
      </c>
      <c r="H700" t="s">
        <v>21</v>
      </c>
      <c r="I700">
        <v>9</v>
      </c>
      <c r="J700">
        <v>455.94</v>
      </c>
      <c r="K700">
        <v>4103.46</v>
      </c>
      <c r="L700" t="s">
        <v>22</v>
      </c>
      <c r="M700" t="s">
        <v>22</v>
      </c>
      <c r="N700" s="1">
        <v>46203</v>
      </c>
      <c r="O700">
        <v>4103.46</v>
      </c>
    </row>
    <row r="701" spans="1:15" x14ac:dyDescent="0.3">
      <c r="A701" t="s">
        <v>749</v>
      </c>
      <c r="B701" s="1">
        <v>45914</v>
      </c>
      <c r="C701" t="s">
        <v>713</v>
      </c>
      <c r="D701" t="s">
        <v>49</v>
      </c>
      <c r="E701" t="s">
        <v>25</v>
      </c>
      <c r="F701" t="s">
        <v>19</v>
      </c>
      <c r="G701" t="s">
        <v>20</v>
      </c>
      <c r="H701" t="s">
        <v>21</v>
      </c>
      <c r="I701">
        <v>9</v>
      </c>
      <c r="J701">
        <v>495.53</v>
      </c>
      <c r="K701">
        <v>4459.7700000000004</v>
      </c>
      <c r="L701" t="s">
        <v>22</v>
      </c>
      <c r="M701" t="s">
        <v>22</v>
      </c>
      <c r="N701" s="1">
        <v>46203</v>
      </c>
      <c r="O701">
        <v>4459.7700000000004</v>
      </c>
    </row>
    <row r="702" spans="1:15" x14ac:dyDescent="0.3">
      <c r="A702" t="s">
        <v>750</v>
      </c>
      <c r="B702" s="1">
        <v>45915</v>
      </c>
      <c r="C702" t="s">
        <v>713</v>
      </c>
      <c r="D702" t="s">
        <v>24</v>
      </c>
      <c r="E702" t="s">
        <v>28</v>
      </c>
      <c r="F702" t="s">
        <v>29</v>
      </c>
      <c r="G702" t="s">
        <v>39</v>
      </c>
      <c r="H702" t="s">
        <v>45</v>
      </c>
      <c r="I702">
        <v>9</v>
      </c>
      <c r="J702">
        <v>936.59</v>
      </c>
      <c r="K702">
        <v>8429.31</v>
      </c>
      <c r="L702" t="s">
        <v>30</v>
      </c>
      <c r="M702" t="s">
        <v>80</v>
      </c>
      <c r="N702" s="1">
        <v>46179</v>
      </c>
      <c r="O702">
        <v>8429.31</v>
      </c>
    </row>
    <row r="703" spans="1:15" x14ac:dyDescent="0.3">
      <c r="A703" t="s">
        <v>751</v>
      </c>
      <c r="B703" s="1">
        <v>45916</v>
      </c>
      <c r="C703" t="s">
        <v>713</v>
      </c>
      <c r="D703" t="s">
        <v>49</v>
      </c>
      <c r="E703" t="s">
        <v>25</v>
      </c>
      <c r="F703" t="s">
        <v>38</v>
      </c>
      <c r="G703" t="s">
        <v>39</v>
      </c>
      <c r="H703" t="s">
        <v>34</v>
      </c>
      <c r="I703">
        <v>7</v>
      </c>
      <c r="J703">
        <v>521.38</v>
      </c>
      <c r="K703">
        <v>3649.66</v>
      </c>
      <c r="L703" t="s">
        <v>30</v>
      </c>
      <c r="M703" t="s">
        <v>80</v>
      </c>
      <c r="N703" s="1">
        <v>46127</v>
      </c>
      <c r="O703">
        <v>3649.66</v>
      </c>
    </row>
    <row r="704" spans="1:15" x14ac:dyDescent="0.3">
      <c r="A704" t="s">
        <v>752</v>
      </c>
      <c r="B704" s="1">
        <v>45916</v>
      </c>
      <c r="C704" t="s">
        <v>713</v>
      </c>
      <c r="D704" t="s">
        <v>49</v>
      </c>
      <c r="E704" t="s">
        <v>25</v>
      </c>
      <c r="F704" t="s">
        <v>29</v>
      </c>
      <c r="G704" t="s">
        <v>39</v>
      </c>
      <c r="H704" t="s">
        <v>21</v>
      </c>
      <c r="I704">
        <v>9</v>
      </c>
      <c r="J704">
        <v>494.34</v>
      </c>
      <c r="K704">
        <v>4449.0600000000004</v>
      </c>
      <c r="L704" t="s">
        <v>22</v>
      </c>
      <c r="M704" t="s">
        <v>22</v>
      </c>
      <c r="N704" s="1">
        <v>46203</v>
      </c>
      <c r="O704">
        <v>4449.0600000000004</v>
      </c>
    </row>
    <row r="705" spans="1:15" x14ac:dyDescent="0.3">
      <c r="A705" t="s">
        <v>753</v>
      </c>
      <c r="B705" s="1">
        <v>45917</v>
      </c>
      <c r="C705" t="s">
        <v>713</v>
      </c>
      <c r="D705" t="s">
        <v>17</v>
      </c>
      <c r="E705" t="s">
        <v>18</v>
      </c>
      <c r="F705" t="s">
        <v>19</v>
      </c>
      <c r="G705" t="s">
        <v>20</v>
      </c>
      <c r="H705" t="s">
        <v>21</v>
      </c>
      <c r="I705">
        <v>1</v>
      </c>
      <c r="J705">
        <v>1536.78</v>
      </c>
      <c r="K705">
        <v>1536.78</v>
      </c>
      <c r="L705" t="s">
        <v>30</v>
      </c>
      <c r="M705" t="s">
        <v>80</v>
      </c>
      <c r="N705" s="1">
        <v>45955</v>
      </c>
      <c r="O705">
        <v>1536.78</v>
      </c>
    </row>
    <row r="706" spans="1:15" x14ac:dyDescent="0.3">
      <c r="A706" t="s">
        <v>754</v>
      </c>
      <c r="B706" s="1">
        <v>45919</v>
      </c>
      <c r="C706" t="s">
        <v>713</v>
      </c>
      <c r="D706" t="s">
        <v>24</v>
      </c>
      <c r="E706" t="s">
        <v>28</v>
      </c>
      <c r="F706" t="s">
        <v>29</v>
      </c>
      <c r="G706" t="s">
        <v>20</v>
      </c>
      <c r="H706" t="s">
        <v>21</v>
      </c>
      <c r="I706">
        <v>9</v>
      </c>
      <c r="J706">
        <v>908.08</v>
      </c>
      <c r="K706">
        <v>8172.72</v>
      </c>
      <c r="L706" t="s">
        <v>22</v>
      </c>
      <c r="M706" t="s">
        <v>22</v>
      </c>
      <c r="N706" s="1">
        <v>46203</v>
      </c>
      <c r="O706">
        <v>8172.72</v>
      </c>
    </row>
    <row r="707" spans="1:15" x14ac:dyDescent="0.3">
      <c r="A707" t="s">
        <v>755</v>
      </c>
      <c r="B707" s="1">
        <v>45919</v>
      </c>
      <c r="C707" t="s">
        <v>713</v>
      </c>
      <c r="D707" t="s">
        <v>24</v>
      </c>
      <c r="E707" t="s">
        <v>18</v>
      </c>
      <c r="F707" t="s">
        <v>19</v>
      </c>
      <c r="G707" t="s">
        <v>20</v>
      </c>
      <c r="H707" t="s">
        <v>34</v>
      </c>
      <c r="I707">
        <v>9</v>
      </c>
      <c r="J707">
        <v>813.74</v>
      </c>
      <c r="K707">
        <v>7323.66</v>
      </c>
      <c r="L707" t="s">
        <v>22</v>
      </c>
      <c r="M707" t="s">
        <v>22</v>
      </c>
      <c r="N707" s="1">
        <v>46203</v>
      </c>
      <c r="O707">
        <v>7323.66</v>
      </c>
    </row>
    <row r="708" spans="1:15" x14ac:dyDescent="0.3">
      <c r="A708" t="s">
        <v>756</v>
      </c>
      <c r="B708" s="1">
        <v>45919</v>
      </c>
      <c r="C708" t="s">
        <v>713</v>
      </c>
      <c r="D708" t="s">
        <v>24</v>
      </c>
      <c r="E708" t="s">
        <v>28</v>
      </c>
      <c r="F708" t="s">
        <v>19</v>
      </c>
      <c r="G708" t="s">
        <v>26</v>
      </c>
      <c r="H708" t="s">
        <v>21</v>
      </c>
      <c r="I708">
        <v>9</v>
      </c>
      <c r="J708">
        <v>817.36</v>
      </c>
      <c r="K708">
        <v>7356.24</v>
      </c>
      <c r="L708" t="s">
        <v>22</v>
      </c>
      <c r="M708" t="s">
        <v>22</v>
      </c>
      <c r="N708" s="1">
        <v>46203</v>
      </c>
      <c r="O708">
        <v>7356.24</v>
      </c>
    </row>
    <row r="709" spans="1:15" x14ac:dyDescent="0.3">
      <c r="A709" t="s">
        <v>757</v>
      </c>
      <c r="B709" s="1">
        <v>45919</v>
      </c>
      <c r="C709" t="s">
        <v>713</v>
      </c>
      <c r="D709" t="s">
        <v>49</v>
      </c>
      <c r="E709" t="s">
        <v>50</v>
      </c>
      <c r="F709" t="s">
        <v>29</v>
      </c>
      <c r="G709" t="s">
        <v>26</v>
      </c>
      <c r="H709" t="s">
        <v>21</v>
      </c>
      <c r="I709">
        <v>4</v>
      </c>
      <c r="J709">
        <v>460.09</v>
      </c>
      <c r="K709">
        <v>1840.36</v>
      </c>
      <c r="L709" t="s">
        <v>30</v>
      </c>
      <c r="M709" t="s">
        <v>43</v>
      </c>
      <c r="N709" s="1">
        <v>46042</v>
      </c>
      <c r="O709">
        <v>1840.36</v>
      </c>
    </row>
    <row r="710" spans="1:15" x14ac:dyDescent="0.3">
      <c r="A710" t="s">
        <v>758</v>
      </c>
      <c r="B710" s="1">
        <v>45919</v>
      </c>
      <c r="C710" t="s">
        <v>713</v>
      </c>
      <c r="D710" t="s">
        <v>17</v>
      </c>
      <c r="E710" t="s">
        <v>18</v>
      </c>
      <c r="F710" t="s">
        <v>19</v>
      </c>
      <c r="G710" t="s">
        <v>39</v>
      </c>
      <c r="H710" t="s">
        <v>21</v>
      </c>
      <c r="I710">
        <v>9</v>
      </c>
      <c r="J710">
        <v>1398.54</v>
      </c>
      <c r="K710">
        <v>12586.86</v>
      </c>
      <c r="L710" t="s">
        <v>22</v>
      </c>
      <c r="M710" t="s">
        <v>22</v>
      </c>
      <c r="N710" s="1">
        <v>46203</v>
      </c>
      <c r="O710">
        <v>12586.86</v>
      </c>
    </row>
    <row r="711" spans="1:15" x14ac:dyDescent="0.3">
      <c r="A711" t="s">
        <v>759</v>
      </c>
      <c r="B711" s="1">
        <v>45920</v>
      </c>
      <c r="C711" t="s">
        <v>713</v>
      </c>
      <c r="D711" t="s">
        <v>24</v>
      </c>
      <c r="E711" t="s">
        <v>18</v>
      </c>
      <c r="F711" t="s">
        <v>29</v>
      </c>
      <c r="G711" t="s">
        <v>26</v>
      </c>
      <c r="H711" t="s">
        <v>34</v>
      </c>
      <c r="I711">
        <v>9</v>
      </c>
      <c r="J711">
        <v>980.32</v>
      </c>
      <c r="K711">
        <v>8822.8799999999992</v>
      </c>
      <c r="L711" t="s">
        <v>22</v>
      </c>
      <c r="M711" t="s">
        <v>22</v>
      </c>
      <c r="N711" s="1">
        <v>46203</v>
      </c>
      <c r="O711">
        <v>8822.8799999999992</v>
      </c>
    </row>
    <row r="712" spans="1:15" x14ac:dyDescent="0.3">
      <c r="A712" t="s">
        <v>760</v>
      </c>
      <c r="B712" s="1">
        <v>45920</v>
      </c>
      <c r="C712" t="s">
        <v>713</v>
      </c>
      <c r="D712" t="s">
        <v>24</v>
      </c>
      <c r="E712" t="s">
        <v>25</v>
      </c>
      <c r="F712" t="s">
        <v>51</v>
      </c>
      <c r="G712" t="s">
        <v>26</v>
      </c>
      <c r="H712" t="s">
        <v>34</v>
      </c>
      <c r="I712">
        <v>9</v>
      </c>
      <c r="J712">
        <v>814.05</v>
      </c>
      <c r="K712">
        <v>7326.45</v>
      </c>
      <c r="L712" t="s">
        <v>22</v>
      </c>
      <c r="M712" t="s">
        <v>22</v>
      </c>
      <c r="N712" s="1">
        <v>46203</v>
      </c>
      <c r="O712">
        <v>7326.45</v>
      </c>
    </row>
    <row r="713" spans="1:15" x14ac:dyDescent="0.3">
      <c r="A713" t="s">
        <v>761</v>
      </c>
      <c r="B713" s="1">
        <v>45921</v>
      </c>
      <c r="C713" t="s">
        <v>713</v>
      </c>
      <c r="D713" t="s">
        <v>49</v>
      </c>
      <c r="E713" t="s">
        <v>25</v>
      </c>
      <c r="F713" t="s">
        <v>19</v>
      </c>
      <c r="G713" t="s">
        <v>39</v>
      </c>
      <c r="H713" t="s">
        <v>40</v>
      </c>
      <c r="I713">
        <v>8</v>
      </c>
      <c r="J713">
        <v>527.76</v>
      </c>
      <c r="K713">
        <v>4222.08</v>
      </c>
      <c r="L713" t="s">
        <v>30</v>
      </c>
      <c r="M713" t="s">
        <v>43</v>
      </c>
      <c r="N713" s="1">
        <v>46159</v>
      </c>
      <c r="O713">
        <v>4222.08</v>
      </c>
    </row>
    <row r="714" spans="1:15" x14ac:dyDescent="0.3">
      <c r="A714" t="s">
        <v>762</v>
      </c>
      <c r="B714" s="1">
        <v>45921</v>
      </c>
      <c r="C714" t="s">
        <v>713</v>
      </c>
      <c r="D714" t="s">
        <v>24</v>
      </c>
      <c r="E714" t="s">
        <v>28</v>
      </c>
      <c r="F714" t="s">
        <v>19</v>
      </c>
      <c r="G714" t="s">
        <v>39</v>
      </c>
      <c r="H714" t="s">
        <v>45</v>
      </c>
      <c r="I714">
        <v>9</v>
      </c>
      <c r="J714">
        <v>972.32</v>
      </c>
      <c r="K714">
        <v>8750.8799999999992</v>
      </c>
      <c r="L714" t="s">
        <v>22</v>
      </c>
      <c r="M714" t="s">
        <v>22</v>
      </c>
      <c r="N714" s="1">
        <v>46203</v>
      </c>
      <c r="O714">
        <v>8750.8799999999992</v>
      </c>
    </row>
    <row r="715" spans="1:15" x14ac:dyDescent="0.3">
      <c r="A715" t="s">
        <v>763</v>
      </c>
      <c r="B715" s="1">
        <v>45921</v>
      </c>
      <c r="C715" t="s">
        <v>713</v>
      </c>
      <c r="D715" t="s">
        <v>24</v>
      </c>
      <c r="E715" t="s">
        <v>25</v>
      </c>
      <c r="F715" t="s">
        <v>19</v>
      </c>
      <c r="G715" t="s">
        <v>39</v>
      </c>
      <c r="H715" t="s">
        <v>21</v>
      </c>
      <c r="I715">
        <v>9</v>
      </c>
      <c r="J715">
        <v>907.84</v>
      </c>
      <c r="K715">
        <v>8170.56</v>
      </c>
      <c r="L715" t="s">
        <v>22</v>
      </c>
      <c r="M715" t="s">
        <v>22</v>
      </c>
      <c r="N715" s="1">
        <v>46203</v>
      </c>
      <c r="O715">
        <v>8170.56</v>
      </c>
    </row>
    <row r="716" spans="1:15" x14ac:dyDescent="0.3">
      <c r="A716" t="s">
        <v>764</v>
      </c>
      <c r="B716" s="1">
        <v>45921</v>
      </c>
      <c r="C716" t="s">
        <v>713</v>
      </c>
      <c r="D716" t="s">
        <v>24</v>
      </c>
      <c r="E716" t="s">
        <v>18</v>
      </c>
      <c r="F716" t="s">
        <v>19</v>
      </c>
      <c r="G716" t="s">
        <v>39</v>
      </c>
      <c r="H716" t="s">
        <v>21</v>
      </c>
      <c r="I716">
        <v>8</v>
      </c>
      <c r="J716">
        <v>896.4</v>
      </c>
      <c r="K716">
        <v>7171.2</v>
      </c>
      <c r="L716" t="s">
        <v>30</v>
      </c>
      <c r="M716" t="s">
        <v>31</v>
      </c>
      <c r="N716" s="1">
        <v>46156</v>
      </c>
      <c r="O716">
        <v>7171.2</v>
      </c>
    </row>
    <row r="717" spans="1:15" x14ac:dyDescent="0.3">
      <c r="A717" t="s">
        <v>765</v>
      </c>
      <c r="B717" s="1">
        <v>45921</v>
      </c>
      <c r="C717" t="s">
        <v>713</v>
      </c>
      <c r="D717" t="s">
        <v>49</v>
      </c>
      <c r="E717" t="s">
        <v>28</v>
      </c>
      <c r="F717" t="s">
        <v>29</v>
      </c>
      <c r="G717" t="s">
        <v>20</v>
      </c>
      <c r="H717" t="s">
        <v>21</v>
      </c>
      <c r="I717">
        <v>9</v>
      </c>
      <c r="J717">
        <v>528.98</v>
      </c>
      <c r="K717">
        <v>4760.82</v>
      </c>
      <c r="L717" t="s">
        <v>22</v>
      </c>
      <c r="M717" t="s">
        <v>22</v>
      </c>
      <c r="N717" s="1">
        <v>46203</v>
      </c>
      <c r="O717">
        <v>4760.82</v>
      </c>
    </row>
    <row r="718" spans="1:15" x14ac:dyDescent="0.3">
      <c r="A718" t="s">
        <v>766</v>
      </c>
      <c r="B718" s="1">
        <v>45922</v>
      </c>
      <c r="C718" t="s">
        <v>713</v>
      </c>
      <c r="D718" t="s">
        <v>24</v>
      </c>
      <c r="E718" t="s">
        <v>28</v>
      </c>
      <c r="F718" t="s">
        <v>33</v>
      </c>
      <c r="G718" t="s">
        <v>39</v>
      </c>
      <c r="H718" t="s">
        <v>21</v>
      </c>
      <c r="I718">
        <v>6</v>
      </c>
      <c r="J718">
        <v>987.21</v>
      </c>
      <c r="K718">
        <v>5923.26</v>
      </c>
      <c r="L718" t="s">
        <v>30</v>
      </c>
      <c r="M718" t="s">
        <v>80</v>
      </c>
      <c r="N718" s="1">
        <v>46103</v>
      </c>
      <c r="O718">
        <v>5923.26</v>
      </c>
    </row>
    <row r="719" spans="1:15" x14ac:dyDescent="0.3">
      <c r="A719" t="s">
        <v>767</v>
      </c>
      <c r="B719" s="1">
        <v>45922</v>
      </c>
      <c r="C719" t="s">
        <v>713</v>
      </c>
      <c r="D719" t="s">
        <v>24</v>
      </c>
      <c r="E719" t="s">
        <v>28</v>
      </c>
      <c r="F719" t="s">
        <v>38</v>
      </c>
      <c r="G719" t="s">
        <v>39</v>
      </c>
      <c r="H719" t="s">
        <v>21</v>
      </c>
      <c r="I719">
        <v>9</v>
      </c>
      <c r="J719">
        <v>811.7</v>
      </c>
      <c r="K719">
        <v>7305.3</v>
      </c>
      <c r="L719" t="s">
        <v>22</v>
      </c>
      <c r="M719" t="s">
        <v>22</v>
      </c>
      <c r="N719" s="1">
        <v>46203</v>
      </c>
      <c r="O719">
        <v>7305.3</v>
      </c>
    </row>
    <row r="720" spans="1:15" x14ac:dyDescent="0.3">
      <c r="A720" t="s">
        <v>768</v>
      </c>
      <c r="B720" s="1">
        <v>45922</v>
      </c>
      <c r="C720" t="s">
        <v>713</v>
      </c>
      <c r="D720" t="s">
        <v>24</v>
      </c>
      <c r="E720" t="s">
        <v>18</v>
      </c>
      <c r="F720" t="s">
        <v>51</v>
      </c>
      <c r="G720" t="s">
        <v>20</v>
      </c>
      <c r="H720" t="s">
        <v>40</v>
      </c>
      <c r="I720">
        <v>9</v>
      </c>
      <c r="J720">
        <v>815.7</v>
      </c>
      <c r="K720">
        <v>7341.3</v>
      </c>
      <c r="L720" t="s">
        <v>22</v>
      </c>
      <c r="M720" t="s">
        <v>22</v>
      </c>
      <c r="N720" s="1">
        <v>46203</v>
      </c>
      <c r="O720">
        <v>7341.3</v>
      </c>
    </row>
    <row r="721" spans="1:15" x14ac:dyDescent="0.3">
      <c r="A721" t="s">
        <v>769</v>
      </c>
      <c r="B721" s="1">
        <v>45923</v>
      </c>
      <c r="C721" t="s">
        <v>713</v>
      </c>
      <c r="D721" t="s">
        <v>24</v>
      </c>
      <c r="E721" t="s">
        <v>50</v>
      </c>
      <c r="F721" t="s">
        <v>38</v>
      </c>
      <c r="G721" t="s">
        <v>39</v>
      </c>
      <c r="H721" t="s">
        <v>45</v>
      </c>
      <c r="I721">
        <v>9</v>
      </c>
      <c r="J721">
        <v>877.78</v>
      </c>
      <c r="K721">
        <v>7900.02</v>
      </c>
      <c r="L721" t="s">
        <v>22</v>
      </c>
      <c r="M721" t="s">
        <v>22</v>
      </c>
      <c r="N721" s="1">
        <v>46203</v>
      </c>
      <c r="O721">
        <v>7900.02</v>
      </c>
    </row>
    <row r="722" spans="1:15" x14ac:dyDescent="0.3">
      <c r="A722" t="s">
        <v>770</v>
      </c>
      <c r="B722" s="1">
        <v>45923</v>
      </c>
      <c r="C722" t="s">
        <v>713</v>
      </c>
      <c r="D722" t="s">
        <v>24</v>
      </c>
      <c r="E722" t="s">
        <v>28</v>
      </c>
      <c r="F722" t="s">
        <v>19</v>
      </c>
      <c r="G722" t="s">
        <v>39</v>
      </c>
      <c r="H722" t="s">
        <v>40</v>
      </c>
      <c r="I722">
        <v>4</v>
      </c>
      <c r="J722">
        <v>845.4</v>
      </c>
      <c r="K722">
        <v>3381.6</v>
      </c>
      <c r="L722" t="s">
        <v>30</v>
      </c>
      <c r="M722" t="s">
        <v>36</v>
      </c>
      <c r="N722" s="1">
        <v>46054</v>
      </c>
      <c r="O722">
        <v>3381.6</v>
      </c>
    </row>
    <row r="723" spans="1:15" x14ac:dyDescent="0.3">
      <c r="A723" t="s">
        <v>771</v>
      </c>
      <c r="B723" s="1">
        <v>45924</v>
      </c>
      <c r="C723" t="s">
        <v>713</v>
      </c>
      <c r="D723" t="s">
        <v>49</v>
      </c>
      <c r="E723" t="s">
        <v>25</v>
      </c>
      <c r="F723" t="s">
        <v>51</v>
      </c>
      <c r="G723" t="s">
        <v>39</v>
      </c>
      <c r="H723" t="s">
        <v>21</v>
      </c>
      <c r="I723">
        <v>9</v>
      </c>
      <c r="J723">
        <v>491.09</v>
      </c>
      <c r="K723">
        <v>4419.8100000000004</v>
      </c>
      <c r="L723" t="s">
        <v>22</v>
      </c>
      <c r="M723" t="s">
        <v>22</v>
      </c>
      <c r="N723" s="1">
        <v>46203</v>
      </c>
      <c r="O723">
        <v>4419.8100000000004</v>
      </c>
    </row>
    <row r="724" spans="1:15" x14ac:dyDescent="0.3">
      <c r="A724" t="s">
        <v>772</v>
      </c>
      <c r="B724" s="1">
        <v>45924</v>
      </c>
      <c r="C724" t="s">
        <v>713</v>
      </c>
      <c r="D724" t="s">
        <v>17</v>
      </c>
      <c r="E724" t="s">
        <v>28</v>
      </c>
      <c r="F724" t="s">
        <v>33</v>
      </c>
      <c r="G724" t="s">
        <v>39</v>
      </c>
      <c r="H724" t="s">
        <v>21</v>
      </c>
      <c r="I724">
        <v>3</v>
      </c>
      <c r="J724">
        <v>1422.65</v>
      </c>
      <c r="K724">
        <v>4267.95</v>
      </c>
      <c r="L724" t="s">
        <v>30</v>
      </c>
      <c r="M724" t="s">
        <v>80</v>
      </c>
      <c r="N724" s="1">
        <v>46027</v>
      </c>
      <c r="O724">
        <v>4267.95</v>
      </c>
    </row>
    <row r="725" spans="1:15" x14ac:dyDescent="0.3">
      <c r="A725" t="s">
        <v>773</v>
      </c>
      <c r="B725" s="1">
        <v>45924</v>
      </c>
      <c r="C725" t="s">
        <v>713</v>
      </c>
      <c r="D725" t="s">
        <v>17</v>
      </c>
      <c r="E725" t="s">
        <v>18</v>
      </c>
      <c r="F725" t="s">
        <v>29</v>
      </c>
      <c r="G725" t="s">
        <v>39</v>
      </c>
      <c r="H725" t="s">
        <v>21</v>
      </c>
      <c r="I725">
        <v>9</v>
      </c>
      <c r="J725">
        <v>1439.11</v>
      </c>
      <c r="K725">
        <v>12951.99</v>
      </c>
      <c r="L725" t="s">
        <v>22</v>
      </c>
      <c r="M725" t="s">
        <v>22</v>
      </c>
      <c r="N725" s="1">
        <v>46203</v>
      </c>
      <c r="O725">
        <v>12951.99</v>
      </c>
    </row>
    <row r="726" spans="1:15" x14ac:dyDescent="0.3">
      <c r="A726" t="s">
        <v>774</v>
      </c>
      <c r="B726" s="1">
        <v>45924</v>
      </c>
      <c r="C726" t="s">
        <v>713</v>
      </c>
      <c r="D726" t="s">
        <v>49</v>
      </c>
      <c r="E726" t="s">
        <v>25</v>
      </c>
      <c r="F726" t="s">
        <v>29</v>
      </c>
      <c r="G726" t="s">
        <v>26</v>
      </c>
      <c r="H726" t="s">
        <v>34</v>
      </c>
      <c r="I726">
        <v>9</v>
      </c>
      <c r="J726">
        <v>539.71</v>
      </c>
      <c r="K726">
        <v>4857.3900000000003</v>
      </c>
      <c r="L726" t="s">
        <v>22</v>
      </c>
      <c r="M726" t="s">
        <v>22</v>
      </c>
      <c r="N726" s="1">
        <v>46203</v>
      </c>
      <c r="O726">
        <v>4857.3900000000003</v>
      </c>
    </row>
    <row r="727" spans="1:15" x14ac:dyDescent="0.3">
      <c r="A727" t="s">
        <v>775</v>
      </c>
      <c r="B727" s="1">
        <v>45926</v>
      </c>
      <c r="C727" t="s">
        <v>713</v>
      </c>
      <c r="D727" t="s">
        <v>49</v>
      </c>
      <c r="E727" t="s">
        <v>28</v>
      </c>
      <c r="F727" t="s">
        <v>33</v>
      </c>
      <c r="G727" t="s">
        <v>26</v>
      </c>
      <c r="H727" t="s">
        <v>45</v>
      </c>
      <c r="I727">
        <v>5</v>
      </c>
      <c r="J727">
        <v>495.81</v>
      </c>
      <c r="K727">
        <v>2479.0500000000002</v>
      </c>
      <c r="L727" t="s">
        <v>30</v>
      </c>
      <c r="M727" t="s">
        <v>43</v>
      </c>
      <c r="N727" s="1">
        <v>46066</v>
      </c>
      <c r="O727">
        <v>2479.0500000000002</v>
      </c>
    </row>
    <row r="728" spans="1:15" x14ac:dyDescent="0.3">
      <c r="A728" t="s">
        <v>776</v>
      </c>
      <c r="B728" s="1">
        <v>45926</v>
      </c>
      <c r="C728" t="s">
        <v>713</v>
      </c>
      <c r="D728" t="s">
        <v>24</v>
      </c>
      <c r="E728" t="s">
        <v>25</v>
      </c>
      <c r="F728" t="s">
        <v>29</v>
      </c>
      <c r="G728" t="s">
        <v>39</v>
      </c>
      <c r="H728" t="s">
        <v>21</v>
      </c>
      <c r="I728">
        <v>1</v>
      </c>
      <c r="J728">
        <v>918.31</v>
      </c>
      <c r="K728">
        <v>918.31</v>
      </c>
      <c r="L728" t="s">
        <v>30</v>
      </c>
      <c r="M728" t="s">
        <v>41</v>
      </c>
      <c r="N728" s="1">
        <v>45957</v>
      </c>
      <c r="O728">
        <v>918.31</v>
      </c>
    </row>
    <row r="729" spans="1:15" x14ac:dyDescent="0.3">
      <c r="A729" t="s">
        <v>777</v>
      </c>
      <c r="B729" s="1">
        <v>45926</v>
      </c>
      <c r="C729" t="s">
        <v>713</v>
      </c>
      <c r="D729" t="s">
        <v>49</v>
      </c>
      <c r="E729" t="s">
        <v>18</v>
      </c>
      <c r="F729" t="s">
        <v>19</v>
      </c>
      <c r="G729" t="s">
        <v>26</v>
      </c>
      <c r="H729" t="s">
        <v>34</v>
      </c>
      <c r="I729">
        <v>9</v>
      </c>
      <c r="J729">
        <v>536.66999999999996</v>
      </c>
      <c r="K729">
        <v>4830.03</v>
      </c>
      <c r="L729" t="s">
        <v>22</v>
      </c>
      <c r="M729" t="s">
        <v>22</v>
      </c>
      <c r="N729" s="1">
        <v>46203</v>
      </c>
      <c r="O729">
        <v>4830.03</v>
      </c>
    </row>
    <row r="730" spans="1:15" x14ac:dyDescent="0.3">
      <c r="A730" t="s">
        <v>778</v>
      </c>
      <c r="B730" s="1">
        <v>45926</v>
      </c>
      <c r="C730" t="s">
        <v>713</v>
      </c>
      <c r="D730" t="s">
        <v>17</v>
      </c>
      <c r="E730" t="s">
        <v>50</v>
      </c>
      <c r="F730" t="s">
        <v>19</v>
      </c>
      <c r="G730" t="s">
        <v>39</v>
      </c>
      <c r="H730" t="s">
        <v>40</v>
      </c>
      <c r="I730">
        <v>9</v>
      </c>
      <c r="J730">
        <v>1389.32</v>
      </c>
      <c r="K730">
        <v>12503.88</v>
      </c>
      <c r="L730" t="s">
        <v>22</v>
      </c>
      <c r="M730" t="s">
        <v>22</v>
      </c>
      <c r="N730" s="1">
        <v>46203</v>
      </c>
      <c r="O730">
        <v>12503.88</v>
      </c>
    </row>
    <row r="731" spans="1:15" x14ac:dyDescent="0.3">
      <c r="A731" t="s">
        <v>779</v>
      </c>
      <c r="B731" s="1">
        <v>45926</v>
      </c>
      <c r="C731" t="s">
        <v>713</v>
      </c>
      <c r="D731" t="s">
        <v>24</v>
      </c>
      <c r="E731" t="s">
        <v>25</v>
      </c>
      <c r="F731" t="s">
        <v>38</v>
      </c>
      <c r="G731" t="s">
        <v>20</v>
      </c>
      <c r="H731" t="s">
        <v>40</v>
      </c>
      <c r="I731">
        <v>9</v>
      </c>
      <c r="J731">
        <v>827.82</v>
      </c>
      <c r="K731">
        <v>7450.38</v>
      </c>
      <c r="L731" t="s">
        <v>22</v>
      </c>
      <c r="M731" t="s">
        <v>22</v>
      </c>
      <c r="N731" s="1">
        <v>46203</v>
      </c>
      <c r="O731">
        <v>7450.38</v>
      </c>
    </row>
    <row r="732" spans="1:15" x14ac:dyDescent="0.3">
      <c r="A732" t="s">
        <v>780</v>
      </c>
      <c r="B732" s="1">
        <v>45926</v>
      </c>
      <c r="C732" t="s">
        <v>713</v>
      </c>
      <c r="D732" t="s">
        <v>17</v>
      </c>
      <c r="E732" t="s">
        <v>25</v>
      </c>
      <c r="F732" t="s">
        <v>29</v>
      </c>
      <c r="G732" t="s">
        <v>20</v>
      </c>
      <c r="H732" t="s">
        <v>21</v>
      </c>
      <c r="I732">
        <v>9</v>
      </c>
      <c r="J732">
        <v>1435.29</v>
      </c>
      <c r="K732">
        <v>12917.61</v>
      </c>
      <c r="L732" t="s">
        <v>22</v>
      </c>
      <c r="M732" t="s">
        <v>22</v>
      </c>
      <c r="N732" s="1">
        <v>46203</v>
      </c>
      <c r="O732">
        <v>12917.61</v>
      </c>
    </row>
    <row r="733" spans="1:15" x14ac:dyDescent="0.3">
      <c r="A733" t="s">
        <v>781</v>
      </c>
      <c r="B733" s="1">
        <v>45926</v>
      </c>
      <c r="C733" t="s">
        <v>713</v>
      </c>
      <c r="D733" t="s">
        <v>24</v>
      </c>
      <c r="E733" t="s">
        <v>25</v>
      </c>
      <c r="F733" t="s">
        <v>51</v>
      </c>
      <c r="G733" t="s">
        <v>39</v>
      </c>
      <c r="H733" t="s">
        <v>45</v>
      </c>
      <c r="I733">
        <v>9</v>
      </c>
      <c r="J733">
        <v>910.12</v>
      </c>
      <c r="K733">
        <v>8191.08</v>
      </c>
      <c r="L733" t="s">
        <v>22</v>
      </c>
      <c r="M733" t="s">
        <v>22</v>
      </c>
      <c r="N733" s="1">
        <v>46203</v>
      </c>
      <c r="O733">
        <v>8191.08</v>
      </c>
    </row>
    <row r="734" spans="1:15" x14ac:dyDescent="0.3">
      <c r="A734" t="s">
        <v>782</v>
      </c>
      <c r="B734" s="1">
        <v>45927</v>
      </c>
      <c r="C734" t="s">
        <v>713</v>
      </c>
      <c r="D734" t="s">
        <v>49</v>
      </c>
      <c r="E734" t="s">
        <v>25</v>
      </c>
      <c r="F734" t="s">
        <v>29</v>
      </c>
      <c r="G734" t="s">
        <v>26</v>
      </c>
      <c r="H734" t="s">
        <v>40</v>
      </c>
      <c r="I734">
        <v>9</v>
      </c>
      <c r="J734">
        <v>487.58</v>
      </c>
      <c r="K734">
        <v>4388.22</v>
      </c>
      <c r="L734" t="s">
        <v>22</v>
      </c>
      <c r="M734" t="s">
        <v>22</v>
      </c>
      <c r="N734" s="1">
        <v>46203</v>
      </c>
      <c r="O734">
        <v>4388.22</v>
      </c>
    </row>
    <row r="735" spans="1:15" x14ac:dyDescent="0.3">
      <c r="A735" t="s">
        <v>783</v>
      </c>
      <c r="B735" s="1">
        <v>45927</v>
      </c>
      <c r="C735" t="s">
        <v>713</v>
      </c>
      <c r="D735" t="s">
        <v>49</v>
      </c>
      <c r="E735" t="s">
        <v>25</v>
      </c>
      <c r="F735" t="s">
        <v>29</v>
      </c>
      <c r="G735" t="s">
        <v>39</v>
      </c>
      <c r="H735" t="s">
        <v>40</v>
      </c>
      <c r="I735">
        <v>9</v>
      </c>
      <c r="J735">
        <v>532.75</v>
      </c>
      <c r="K735">
        <v>4794.75</v>
      </c>
      <c r="L735" t="s">
        <v>22</v>
      </c>
      <c r="M735" t="s">
        <v>22</v>
      </c>
      <c r="N735" s="1">
        <v>46203</v>
      </c>
      <c r="O735">
        <v>4794.75</v>
      </c>
    </row>
    <row r="736" spans="1:15" x14ac:dyDescent="0.3">
      <c r="A736" t="s">
        <v>784</v>
      </c>
      <c r="B736" s="1">
        <v>45927</v>
      </c>
      <c r="C736" t="s">
        <v>713</v>
      </c>
      <c r="D736" t="s">
        <v>17</v>
      </c>
      <c r="E736" t="s">
        <v>28</v>
      </c>
      <c r="F736" t="s">
        <v>19</v>
      </c>
      <c r="G736" t="s">
        <v>39</v>
      </c>
      <c r="H736" t="s">
        <v>21</v>
      </c>
      <c r="I736">
        <v>9</v>
      </c>
      <c r="J736">
        <v>1565.71</v>
      </c>
      <c r="K736">
        <v>14091.39</v>
      </c>
      <c r="L736" t="s">
        <v>22</v>
      </c>
      <c r="M736" t="s">
        <v>22</v>
      </c>
      <c r="N736" s="1">
        <v>46203</v>
      </c>
      <c r="O736">
        <v>14091.39</v>
      </c>
    </row>
    <row r="737" spans="1:15" x14ac:dyDescent="0.3">
      <c r="A737" t="s">
        <v>785</v>
      </c>
      <c r="B737" s="1">
        <v>45927</v>
      </c>
      <c r="C737" t="s">
        <v>713</v>
      </c>
      <c r="D737" t="s">
        <v>24</v>
      </c>
      <c r="E737" t="s">
        <v>18</v>
      </c>
      <c r="F737" t="s">
        <v>51</v>
      </c>
      <c r="G737" t="s">
        <v>39</v>
      </c>
      <c r="H737" t="s">
        <v>21</v>
      </c>
      <c r="I737">
        <v>9</v>
      </c>
      <c r="J737">
        <v>960.98</v>
      </c>
      <c r="K737">
        <v>8648.82</v>
      </c>
      <c r="L737" t="s">
        <v>22</v>
      </c>
      <c r="M737" t="s">
        <v>22</v>
      </c>
      <c r="N737" s="1">
        <v>46203</v>
      </c>
      <c r="O737">
        <v>8648.82</v>
      </c>
    </row>
    <row r="738" spans="1:15" x14ac:dyDescent="0.3">
      <c r="A738" t="s">
        <v>786</v>
      </c>
      <c r="B738" s="1">
        <v>45927</v>
      </c>
      <c r="C738" t="s">
        <v>713</v>
      </c>
      <c r="D738" t="s">
        <v>24</v>
      </c>
      <c r="E738" t="s">
        <v>28</v>
      </c>
      <c r="F738" t="s">
        <v>29</v>
      </c>
      <c r="G738" t="s">
        <v>39</v>
      </c>
      <c r="H738" t="s">
        <v>40</v>
      </c>
      <c r="I738">
        <v>9</v>
      </c>
      <c r="J738">
        <v>853.65</v>
      </c>
      <c r="K738">
        <v>7682.85</v>
      </c>
      <c r="L738" t="s">
        <v>22</v>
      </c>
      <c r="M738" t="s">
        <v>22</v>
      </c>
      <c r="N738" s="1">
        <v>46203</v>
      </c>
      <c r="O738">
        <v>7682.85</v>
      </c>
    </row>
    <row r="739" spans="1:15" x14ac:dyDescent="0.3">
      <c r="A739" t="s">
        <v>787</v>
      </c>
      <c r="B739" s="1">
        <v>45927</v>
      </c>
      <c r="C739" t="s">
        <v>713</v>
      </c>
      <c r="D739" t="s">
        <v>24</v>
      </c>
      <c r="E739" t="s">
        <v>50</v>
      </c>
      <c r="F739" t="s">
        <v>33</v>
      </c>
      <c r="G739" t="s">
        <v>39</v>
      </c>
      <c r="H739" t="s">
        <v>40</v>
      </c>
      <c r="I739">
        <v>9</v>
      </c>
      <c r="J739">
        <v>926.13</v>
      </c>
      <c r="K739">
        <v>8335.17</v>
      </c>
      <c r="L739" t="s">
        <v>22</v>
      </c>
      <c r="M739" t="s">
        <v>22</v>
      </c>
      <c r="N739" s="1">
        <v>46203</v>
      </c>
      <c r="O739">
        <v>8335.17</v>
      </c>
    </row>
    <row r="740" spans="1:15" x14ac:dyDescent="0.3">
      <c r="A740" t="s">
        <v>788</v>
      </c>
      <c r="B740" s="1">
        <v>45929</v>
      </c>
      <c r="C740" t="s">
        <v>713</v>
      </c>
      <c r="D740" t="s">
        <v>49</v>
      </c>
      <c r="E740" t="s">
        <v>28</v>
      </c>
      <c r="F740" t="s">
        <v>19</v>
      </c>
      <c r="G740" t="s">
        <v>39</v>
      </c>
      <c r="H740" t="s">
        <v>21</v>
      </c>
      <c r="I740">
        <v>9</v>
      </c>
      <c r="J740">
        <v>485.41</v>
      </c>
      <c r="K740">
        <v>4368.6899999999996</v>
      </c>
      <c r="L740" t="s">
        <v>22</v>
      </c>
      <c r="M740" t="s">
        <v>22</v>
      </c>
      <c r="N740" s="1">
        <v>46203</v>
      </c>
      <c r="O740">
        <v>4368.6899999999996</v>
      </c>
    </row>
    <row r="741" spans="1:15" x14ac:dyDescent="0.3">
      <c r="A741" t="s">
        <v>789</v>
      </c>
      <c r="B741" s="1">
        <v>45929</v>
      </c>
      <c r="C741" t="s">
        <v>713</v>
      </c>
      <c r="D741" t="s">
        <v>17</v>
      </c>
      <c r="E741" t="s">
        <v>28</v>
      </c>
      <c r="F741" t="s">
        <v>51</v>
      </c>
      <c r="G741" t="s">
        <v>39</v>
      </c>
      <c r="H741" t="s">
        <v>34</v>
      </c>
      <c r="I741">
        <v>9</v>
      </c>
      <c r="J741">
        <v>1611.64</v>
      </c>
      <c r="K741">
        <v>14504.76</v>
      </c>
      <c r="L741" t="s">
        <v>22</v>
      </c>
      <c r="M741" t="s">
        <v>22</v>
      </c>
      <c r="N741" s="1">
        <v>46203</v>
      </c>
      <c r="O741">
        <v>14504.76</v>
      </c>
    </row>
    <row r="742" spans="1:15" x14ac:dyDescent="0.3">
      <c r="A742" t="s">
        <v>790</v>
      </c>
      <c r="B742" s="1">
        <v>45929</v>
      </c>
      <c r="C742" t="s">
        <v>713</v>
      </c>
      <c r="D742" t="s">
        <v>24</v>
      </c>
      <c r="E742" t="s">
        <v>28</v>
      </c>
      <c r="F742" t="s">
        <v>29</v>
      </c>
      <c r="G742" t="s">
        <v>20</v>
      </c>
      <c r="H742" t="s">
        <v>21</v>
      </c>
      <c r="I742">
        <v>9</v>
      </c>
      <c r="J742">
        <v>929.63</v>
      </c>
      <c r="K742">
        <v>8366.67</v>
      </c>
      <c r="L742" t="s">
        <v>22</v>
      </c>
      <c r="M742" t="s">
        <v>22</v>
      </c>
      <c r="N742" s="1">
        <v>46203</v>
      </c>
      <c r="O742">
        <v>8366.67</v>
      </c>
    </row>
    <row r="743" spans="1:15" x14ac:dyDescent="0.3">
      <c r="A743" t="s">
        <v>791</v>
      </c>
      <c r="B743" s="1">
        <v>45930</v>
      </c>
      <c r="C743" t="s">
        <v>713</v>
      </c>
      <c r="D743" t="s">
        <v>24</v>
      </c>
      <c r="E743" t="s">
        <v>25</v>
      </c>
      <c r="F743" t="s">
        <v>38</v>
      </c>
      <c r="G743" t="s">
        <v>39</v>
      </c>
      <c r="H743" t="s">
        <v>40</v>
      </c>
      <c r="I743">
        <v>9</v>
      </c>
      <c r="J743">
        <v>935.54</v>
      </c>
      <c r="K743">
        <v>8419.86</v>
      </c>
      <c r="L743" t="s">
        <v>22</v>
      </c>
      <c r="M743" t="s">
        <v>22</v>
      </c>
      <c r="N743" s="1">
        <v>46203</v>
      </c>
      <c r="O743">
        <v>8419.86</v>
      </c>
    </row>
    <row r="744" spans="1:15" x14ac:dyDescent="0.3">
      <c r="A744" t="s">
        <v>792</v>
      </c>
      <c r="B744" s="1">
        <v>45930</v>
      </c>
      <c r="C744" t="s">
        <v>713</v>
      </c>
      <c r="D744" t="s">
        <v>49</v>
      </c>
      <c r="E744" t="s">
        <v>25</v>
      </c>
      <c r="F744" t="s">
        <v>29</v>
      </c>
      <c r="G744" t="s">
        <v>26</v>
      </c>
      <c r="H744" t="s">
        <v>34</v>
      </c>
      <c r="I744">
        <v>9</v>
      </c>
      <c r="J744">
        <v>466.7</v>
      </c>
      <c r="K744">
        <v>4200.3</v>
      </c>
      <c r="L744" t="s">
        <v>22</v>
      </c>
      <c r="M744" t="s">
        <v>22</v>
      </c>
      <c r="N744" s="1">
        <v>46203</v>
      </c>
      <c r="O744">
        <v>4200.3</v>
      </c>
    </row>
    <row r="745" spans="1:15" x14ac:dyDescent="0.3">
      <c r="A745" t="s">
        <v>793</v>
      </c>
      <c r="B745" s="1">
        <v>45930</v>
      </c>
      <c r="C745" t="s">
        <v>713</v>
      </c>
      <c r="D745" t="s">
        <v>49</v>
      </c>
      <c r="E745" t="s">
        <v>25</v>
      </c>
      <c r="F745" t="s">
        <v>33</v>
      </c>
      <c r="G745" t="s">
        <v>39</v>
      </c>
      <c r="H745" t="s">
        <v>21</v>
      </c>
      <c r="I745">
        <v>9</v>
      </c>
      <c r="J745">
        <v>545.54999999999995</v>
      </c>
      <c r="K745">
        <v>4909.95</v>
      </c>
      <c r="L745" t="s">
        <v>22</v>
      </c>
      <c r="M745" t="s">
        <v>22</v>
      </c>
      <c r="N745" s="1">
        <v>46203</v>
      </c>
      <c r="O745">
        <v>4909.95</v>
      </c>
    </row>
    <row r="746" spans="1:15" x14ac:dyDescent="0.3">
      <c r="A746" t="s">
        <v>794</v>
      </c>
      <c r="B746" s="1">
        <v>45931</v>
      </c>
      <c r="C746" t="s">
        <v>795</v>
      </c>
      <c r="D746" t="s">
        <v>49</v>
      </c>
      <c r="E746" t="s">
        <v>28</v>
      </c>
      <c r="F746" t="s">
        <v>33</v>
      </c>
      <c r="G746" t="s">
        <v>20</v>
      </c>
      <c r="H746" t="s">
        <v>40</v>
      </c>
      <c r="I746">
        <v>9</v>
      </c>
      <c r="J746">
        <v>498.76</v>
      </c>
      <c r="K746">
        <v>4488.84</v>
      </c>
      <c r="L746" t="s">
        <v>22</v>
      </c>
      <c r="M746" t="s">
        <v>22</v>
      </c>
      <c r="N746" s="1">
        <v>46203</v>
      </c>
      <c r="O746">
        <v>4488.84</v>
      </c>
    </row>
    <row r="747" spans="1:15" x14ac:dyDescent="0.3">
      <c r="A747" t="s">
        <v>796</v>
      </c>
      <c r="B747" s="1">
        <v>45931</v>
      </c>
      <c r="C747" t="s">
        <v>795</v>
      </c>
      <c r="D747" t="s">
        <v>17</v>
      </c>
      <c r="E747" t="s">
        <v>28</v>
      </c>
      <c r="F747" t="s">
        <v>38</v>
      </c>
      <c r="G747" t="s">
        <v>39</v>
      </c>
      <c r="H747" t="s">
        <v>40</v>
      </c>
      <c r="I747">
        <v>9</v>
      </c>
      <c r="J747">
        <v>1529.32</v>
      </c>
      <c r="K747">
        <v>13763.88</v>
      </c>
      <c r="L747" t="s">
        <v>22</v>
      </c>
      <c r="M747" t="s">
        <v>22</v>
      </c>
      <c r="N747" s="1">
        <v>46203</v>
      </c>
      <c r="O747">
        <v>13763.88</v>
      </c>
    </row>
    <row r="748" spans="1:15" x14ac:dyDescent="0.3">
      <c r="A748" t="s">
        <v>797</v>
      </c>
      <c r="B748" s="1">
        <v>45931</v>
      </c>
      <c r="C748" t="s">
        <v>795</v>
      </c>
      <c r="D748" t="s">
        <v>24</v>
      </c>
      <c r="E748" t="s">
        <v>25</v>
      </c>
      <c r="F748" t="s">
        <v>29</v>
      </c>
      <c r="G748" t="s">
        <v>39</v>
      </c>
      <c r="H748" t="s">
        <v>21</v>
      </c>
      <c r="I748">
        <v>8</v>
      </c>
      <c r="J748">
        <v>854.49</v>
      </c>
      <c r="K748">
        <v>6835.92</v>
      </c>
      <c r="L748" t="s">
        <v>30</v>
      </c>
      <c r="M748" t="s">
        <v>43</v>
      </c>
      <c r="N748" s="1">
        <v>46164</v>
      </c>
      <c r="O748">
        <v>6835.92</v>
      </c>
    </row>
    <row r="749" spans="1:15" x14ac:dyDescent="0.3">
      <c r="A749" t="s">
        <v>798</v>
      </c>
      <c r="B749" s="1">
        <v>45932</v>
      </c>
      <c r="C749" t="s">
        <v>795</v>
      </c>
      <c r="D749" t="s">
        <v>24</v>
      </c>
      <c r="E749" t="s">
        <v>25</v>
      </c>
      <c r="F749" t="s">
        <v>29</v>
      </c>
      <c r="G749" t="s">
        <v>39</v>
      </c>
      <c r="H749" t="s">
        <v>34</v>
      </c>
      <c r="I749">
        <v>9</v>
      </c>
      <c r="J749">
        <v>982.32</v>
      </c>
      <c r="K749">
        <v>8840.8799999999992</v>
      </c>
      <c r="L749" t="s">
        <v>22</v>
      </c>
      <c r="M749" t="s">
        <v>22</v>
      </c>
      <c r="N749" s="1">
        <v>46203</v>
      </c>
      <c r="O749">
        <v>8840.8799999999992</v>
      </c>
    </row>
    <row r="750" spans="1:15" x14ac:dyDescent="0.3">
      <c r="A750" t="s">
        <v>799</v>
      </c>
      <c r="B750" s="1">
        <v>45934</v>
      </c>
      <c r="C750" t="s">
        <v>795</v>
      </c>
      <c r="D750" t="s">
        <v>24</v>
      </c>
      <c r="E750" t="s">
        <v>25</v>
      </c>
      <c r="F750" t="s">
        <v>29</v>
      </c>
      <c r="G750" t="s">
        <v>39</v>
      </c>
      <c r="H750" t="s">
        <v>21</v>
      </c>
      <c r="I750">
        <v>9</v>
      </c>
      <c r="J750">
        <v>907.92</v>
      </c>
      <c r="K750">
        <v>8171.28</v>
      </c>
      <c r="L750" t="s">
        <v>22</v>
      </c>
      <c r="M750" t="s">
        <v>22</v>
      </c>
      <c r="N750" s="1">
        <v>46203</v>
      </c>
      <c r="O750">
        <v>8171.28</v>
      </c>
    </row>
    <row r="751" spans="1:15" x14ac:dyDescent="0.3">
      <c r="A751" t="s">
        <v>800</v>
      </c>
      <c r="B751" s="1">
        <v>45934</v>
      </c>
      <c r="C751" t="s">
        <v>795</v>
      </c>
      <c r="D751" t="s">
        <v>24</v>
      </c>
      <c r="E751" t="s">
        <v>25</v>
      </c>
      <c r="F751" t="s">
        <v>29</v>
      </c>
      <c r="G751" t="s">
        <v>39</v>
      </c>
      <c r="H751" t="s">
        <v>21</v>
      </c>
      <c r="I751">
        <v>9</v>
      </c>
      <c r="J751">
        <v>970.14</v>
      </c>
      <c r="K751">
        <v>8731.26</v>
      </c>
      <c r="L751" t="s">
        <v>22</v>
      </c>
      <c r="M751" t="s">
        <v>22</v>
      </c>
      <c r="N751" s="1">
        <v>46203</v>
      </c>
      <c r="O751">
        <v>8731.26</v>
      </c>
    </row>
    <row r="752" spans="1:15" x14ac:dyDescent="0.3">
      <c r="A752" t="s">
        <v>801</v>
      </c>
      <c r="B752" s="1">
        <v>45934</v>
      </c>
      <c r="C752" t="s">
        <v>795</v>
      </c>
      <c r="D752" t="s">
        <v>49</v>
      </c>
      <c r="E752" t="s">
        <v>18</v>
      </c>
      <c r="F752" t="s">
        <v>29</v>
      </c>
      <c r="G752" t="s">
        <v>39</v>
      </c>
      <c r="H752" t="s">
        <v>40</v>
      </c>
      <c r="I752">
        <v>9</v>
      </c>
      <c r="J752">
        <v>467.38</v>
      </c>
      <c r="K752">
        <v>4206.42</v>
      </c>
      <c r="L752" t="s">
        <v>22</v>
      </c>
      <c r="M752" t="s">
        <v>22</v>
      </c>
      <c r="N752" s="1">
        <v>46203</v>
      </c>
      <c r="O752">
        <v>4206.42</v>
      </c>
    </row>
    <row r="753" spans="1:15" x14ac:dyDescent="0.3">
      <c r="A753" t="s">
        <v>802</v>
      </c>
      <c r="B753" s="1">
        <v>45935</v>
      </c>
      <c r="C753" t="s">
        <v>795</v>
      </c>
      <c r="D753" t="s">
        <v>49</v>
      </c>
      <c r="E753" t="s">
        <v>18</v>
      </c>
      <c r="F753" t="s">
        <v>33</v>
      </c>
      <c r="G753" t="s">
        <v>26</v>
      </c>
      <c r="H753" t="s">
        <v>21</v>
      </c>
      <c r="I753">
        <v>9</v>
      </c>
      <c r="J753">
        <v>481.75</v>
      </c>
      <c r="K753">
        <v>4335.75</v>
      </c>
      <c r="L753" t="s">
        <v>22</v>
      </c>
      <c r="M753" t="s">
        <v>22</v>
      </c>
      <c r="N753" s="1">
        <v>46203</v>
      </c>
      <c r="O753">
        <v>4335.75</v>
      </c>
    </row>
    <row r="754" spans="1:15" x14ac:dyDescent="0.3">
      <c r="A754" t="s">
        <v>803</v>
      </c>
      <c r="B754" s="1">
        <v>45935</v>
      </c>
      <c r="C754" t="s">
        <v>795</v>
      </c>
      <c r="D754" t="s">
        <v>24</v>
      </c>
      <c r="E754" t="s">
        <v>25</v>
      </c>
      <c r="F754" t="s">
        <v>19</v>
      </c>
      <c r="G754" t="s">
        <v>20</v>
      </c>
      <c r="H754" t="s">
        <v>21</v>
      </c>
      <c r="I754">
        <v>9</v>
      </c>
      <c r="J754">
        <v>860.86</v>
      </c>
      <c r="K754">
        <v>7747.74</v>
      </c>
      <c r="L754" t="s">
        <v>22</v>
      </c>
      <c r="M754" t="s">
        <v>22</v>
      </c>
      <c r="N754" s="1">
        <v>46203</v>
      </c>
      <c r="O754">
        <v>7747.74</v>
      </c>
    </row>
    <row r="755" spans="1:15" x14ac:dyDescent="0.3">
      <c r="A755" t="s">
        <v>804</v>
      </c>
      <c r="B755" s="1">
        <v>45936</v>
      </c>
      <c r="C755" t="s">
        <v>795</v>
      </c>
      <c r="D755" t="s">
        <v>24</v>
      </c>
      <c r="E755" t="s">
        <v>28</v>
      </c>
      <c r="F755" t="s">
        <v>19</v>
      </c>
      <c r="G755" t="s">
        <v>39</v>
      </c>
      <c r="H755" t="s">
        <v>45</v>
      </c>
      <c r="I755">
        <v>9</v>
      </c>
      <c r="J755">
        <v>916.74</v>
      </c>
      <c r="K755">
        <v>8250.66</v>
      </c>
      <c r="L755" t="s">
        <v>22</v>
      </c>
      <c r="M755" t="s">
        <v>22</v>
      </c>
      <c r="N755" s="1">
        <v>46203</v>
      </c>
      <c r="O755">
        <v>8250.66</v>
      </c>
    </row>
    <row r="756" spans="1:15" x14ac:dyDescent="0.3">
      <c r="A756" t="s">
        <v>805</v>
      </c>
      <c r="B756" s="1">
        <v>45936</v>
      </c>
      <c r="C756" t="s">
        <v>795</v>
      </c>
      <c r="D756" t="s">
        <v>24</v>
      </c>
      <c r="E756" t="s">
        <v>25</v>
      </c>
      <c r="F756" t="s">
        <v>51</v>
      </c>
      <c r="G756" t="s">
        <v>39</v>
      </c>
      <c r="H756" t="s">
        <v>21</v>
      </c>
      <c r="I756">
        <v>6</v>
      </c>
      <c r="J756">
        <v>971.61</v>
      </c>
      <c r="K756">
        <v>5829.66</v>
      </c>
      <c r="L756" t="s">
        <v>30</v>
      </c>
      <c r="M756" t="s">
        <v>31</v>
      </c>
      <c r="N756" s="1">
        <v>46128</v>
      </c>
      <c r="O756">
        <v>5829.66</v>
      </c>
    </row>
    <row r="757" spans="1:15" x14ac:dyDescent="0.3">
      <c r="A757" t="s">
        <v>806</v>
      </c>
      <c r="B757" s="1">
        <v>45936</v>
      </c>
      <c r="C757" t="s">
        <v>795</v>
      </c>
      <c r="D757" t="s">
        <v>49</v>
      </c>
      <c r="E757" t="s">
        <v>25</v>
      </c>
      <c r="F757" t="s">
        <v>19</v>
      </c>
      <c r="G757" t="s">
        <v>20</v>
      </c>
      <c r="H757" t="s">
        <v>21</v>
      </c>
      <c r="I757">
        <v>9</v>
      </c>
      <c r="J757">
        <v>466.79</v>
      </c>
      <c r="K757">
        <v>4201.1099999999997</v>
      </c>
      <c r="L757" t="s">
        <v>22</v>
      </c>
      <c r="M757" t="s">
        <v>22</v>
      </c>
      <c r="N757" s="1">
        <v>46203</v>
      </c>
      <c r="O757">
        <v>4201.1099999999997</v>
      </c>
    </row>
    <row r="758" spans="1:15" x14ac:dyDescent="0.3">
      <c r="A758" t="s">
        <v>807</v>
      </c>
      <c r="B758" s="1">
        <v>45937</v>
      </c>
      <c r="C758" t="s">
        <v>795</v>
      </c>
      <c r="D758" t="s">
        <v>49</v>
      </c>
      <c r="E758" t="s">
        <v>25</v>
      </c>
      <c r="F758" t="s">
        <v>33</v>
      </c>
      <c r="G758" t="s">
        <v>26</v>
      </c>
      <c r="H758" t="s">
        <v>21</v>
      </c>
      <c r="I758">
        <v>9</v>
      </c>
      <c r="J758">
        <v>494.14</v>
      </c>
      <c r="K758">
        <v>4447.26</v>
      </c>
      <c r="L758" t="s">
        <v>22</v>
      </c>
      <c r="M758" t="s">
        <v>22</v>
      </c>
      <c r="N758" s="1">
        <v>46203</v>
      </c>
      <c r="O758">
        <v>4447.26</v>
      </c>
    </row>
    <row r="759" spans="1:15" x14ac:dyDescent="0.3">
      <c r="A759" t="s">
        <v>808</v>
      </c>
      <c r="B759" s="1">
        <v>45937</v>
      </c>
      <c r="C759" t="s">
        <v>795</v>
      </c>
      <c r="D759" t="s">
        <v>49</v>
      </c>
      <c r="E759" t="s">
        <v>25</v>
      </c>
      <c r="F759" t="s">
        <v>29</v>
      </c>
      <c r="G759" t="s">
        <v>20</v>
      </c>
      <c r="H759" t="s">
        <v>21</v>
      </c>
      <c r="I759">
        <v>9</v>
      </c>
      <c r="J759">
        <v>525.82000000000005</v>
      </c>
      <c r="K759">
        <v>4732.38</v>
      </c>
      <c r="L759" t="s">
        <v>22</v>
      </c>
      <c r="M759" t="s">
        <v>22</v>
      </c>
      <c r="N759" s="1">
        <v>46203</v>
      </c>
      <c r="O759">
        <v>4732.38</v>
      </c>
    </row>
    <row r="760" spans="1:15" x14ac:dyDescent="0.3">
      <c r="A760" t="s">
        <v>809</v>
      </c>
      <c r="B760" s="1">
        <v>45937</v>
      </c>
      <c r="C760" t="s">
        <v>795</v>
      </c>
      <c r="D760" t="s">
        <v>24</v>
      </c>
      <c r="E760" t="s">
        <v>28</v>
      </c>
      <c r="F760" t="s">
        <v>29</v>
      </c>
      <c r="G760" t="s">
        <v>39</v>
      </c>
      <c r="H760" t="s">
        <v>21</v>
      </c>
      <c r="I760">
        <v>9</v>
      </c>
      <c r="J760">
        <v>943.39</v>
      </c>
      <c r="K760">
        <v>8490.51</v>
      </c>
      <c r="L760" t="s">
        <v>22</v>
      </c>
      <c r="M760" t="s">
        <v>22</v>
      </c>
      <c r="N760" s="1">
        <v>46203</v>
      </c>
      <c r="O760">
        <v>8490.51</v>
      </c>
    </row>
    <row r="761" spans="1:15" x14ac:dyDescent="0.3">
      <c r="A761" t="s">
        <v>810</v>
      </c>
      <c r="B761" s="1">
        <v>45937</v>
      </c>
      <c r="C761" t="s">
        <v>795</v>
      </c>
      <c r="D761" t="s">
        <v>49</v>
      </c>
      <c r="E761" t="s">
        <v>50</v>
      </c>
      <c r="F761" t="s">
        <v>29</v>
      </c>
      <c r="G761" t="s">
        <v>26</v>
      </c>
      <c r="H761" t="s">
        <v>45</v>
      </c>
      <c r="I761">
        <v>5</v>
      </c>
      <c r="J761">
        <v>543.91</v>
      </c>
      <c r="K761">
        <v>2719.55</v>
      </c>
      <c r="L761" t="s">
        <v>30</v>
      </c>
      <c r="M761" t="s">
        <v>36</v>
      </c>
      <c r="N761" s="1">
        <v>46074</v>
      </c>
      <c r="O761">
        <v>2719.55</v>
      </c>
    </row>
    <row r="762" spans="1:15" x14ac:dyDescent="0.3">
      <c r="A762" t="s">
        <v>811</v>
      </c>
      <c r="B762" s="1">
        <v>45938</v>
      </c>
      <c r="C762" t="s">
        <v>795</v>
      </c>
      <c r="D762" t="s">
        <v>49</v>
      </c>
      <c r="E762" t="s">
        <v>28</v>
      </c>
      <c r="F762" t="s">
        <v>51</v>
      </c>
      <c r="G762" t="s">
        <v>20</v>
      </c>
      <c r="H762" t="s">
        <v>40</v>
      </c>
      <c r="I762">
        <v>9</v>
      </c>
      <c r="J762">
        <v>490.02</v>
      </c>
      <c r="K762">
        <v>4410.18</v>
      </c>
      <c r="L762" t="s">
        <v>22</v>
      </c>
      <c r="M762" t="s">
        <v>22</v>
      </c>
      <c r="N762" s="1">
        <v>46203</v>
      </c>
      <c r="O762">
        <v>4410.18</v>
      </c>
    </row>
    <row r="763" spans="1:15" x14ac:dyDescent="0.3">
      <c r="A763" t="s">
        <v>812</v>
      </c>
      <c r="B763" s="1">
        <v>45938</v>
      </c>
      <c r="C763" t="s">
        <v>795</v>
      </c>
      <c r="D763" t="s">
        <v>49</v>
      </c>
      <c r="E763" t="s">
        <v>25</v>
      </c>
      <c r="F763" t="s">
        <v>29</v>
      </c>
      <c r="G763" t="s">
        <v>20</v>
      </c>
      <c r="H763" t="s">
        <v>40</v>
      </c>
      <c r="I763">
        <v>9</v>
      </c>
      <c r="J763">
        <v>497.95</v>
      </c>
      <c r="K763">
        <v>4481.55</v>
      </c>
      <c r="L763" t="s">
        <v>22</v>
      </c>
      <c r="M763" t="s">
        <v>22</v>
      </c>
      <c r="N763" s="1">
        <v>46203</v>
      </c>
      <c r="O763">
        <v>4481.55</v>
      </c>
    </row>
    <row r="764" spans="1:15" x14ac:dyDescent="0.3">
      <c r="A764" t="s">
        <v>813</v>
      </c>
      <c r="B764" s="1">
        <v>45939</v>
      </c>
      <c r="C764" t="s">
        <v>795</v>
      </c>
      <c r="D764" t="s">
        <v>24</v>
      </c>
      <c r="E764" t="s">
        <v>25</v>
      </c>
      <c r="F764" t="s">
        <v>38</v>
      </c>
      <c r="G764" t="s">
        <v>39</v>
      </c>
      <c r="H764" t="s">
        <v>21</v>
      </c>
      <c r="I764">
        <v>9</v>
      </c>
      <c r="J764">
        <v>919.15</v>
      </c>
      <c r="K764">
        <v>8272.35</v>
      </c>
      <c r="L764" t="s">
        <v>22</v>
      </c>
      <c r="M764" t="s">
        <v>22</v>
      </c>
      <c r="N764" s="1">
        <v>46203</v>
      </c>
      <c r="O764">
        <v>8272.35</v>
      </c>
    </row>
    <row r="765" spans="1:15" x14ac:dyDescent="0.3">
      <c r="A765" t="s">
        <v>814</v>
      </c>
      <c r="B765" s="1">
        <v>45939</v>
      </c>
      <c r="C765" t="s">
        <v>795</v>
      </c>
      <c r="D765" t="s">
        <v>49</v>
      </c>
      <c r="E765" t="s">
        <v>50</v>
      </c>
      <c r="F765" t="s">
        <v>19</v>
      </c>
      <c r="G765" t="s">
        <v>26</v>
      </c>
      <c r="H765" t="s">
        <v>45</v>
      </c>
      <c r="I765">
        <v>9</v>
      </c>
      <c r="J765">
        <v>461.98</v>
      </c>
      <c r="K765">
        <v>4157.82</v>
      </c>
      <c r="L765" t="s">
        <v>22</v>
      </c>
      <c r="M765" t="s">
        <v>22</v>
      </c>
      <c r="N765" s="1">
        <v>46203</v>
      </c>
      <c r="O765">
        <v>4157.82</v>
      </c>
    </row>
    <row r="766" spans="1:15" x14ac:dyDescent="0.3">
      <c r="A766" t="s">
        <v>815</v>
      </c>
      <c r="B766" s="1">
        <v>45939</v>
      </c>
      <c r="C766" t="s">
        <v>795</v>
      </c>
      <c r="D766" t="s">
        <v>49</v>
      </c>
      <c r="E766" t="s">
        <v>18</v>
      </c>
      <c r="F766" t="s">
        <v>33</v>
      </c>
      <c r="G766" t="s">
        <v>39</v>
      </c>
      <c r="H766" t="s">
        <v>40</v>
      </c>
      <c r="I766">
        <v>9</v>
      </c>
      <c r="J766">
        <v>468.58</v>
      </c>
      <c r="K766">
        <v>4217.22</v>
      </c>
      <c r="L766" t="s">
        <v>22</v>
      </c>
      <c r="M766" t="s">
        <v>22</v>
      </c>
      <c r="N766" s="1">
        <v>46203</v>
      </c>
      <c r="O766">
        <v>4217.22</v>
      </c>
    </row>
    <row r="767" spans="1:15" x14ac:dyDescent="0.3">
      <c r="A767" t="s">
        <v>816</v>
      </c>
      <c r="B767" s="1">
        <v>45939</v>
      </c>
      <c r="C767" t="s">
        <v>795</v>
      </c>
      <c r="D767" t="s">
        <v>17</v>
      </c>
      <c r="E767" t="s">
        <v>18</v>
      </c>
      <c r="F767" t="s">
        <v>29</v>
      </c>
      <c r="G767" t="s">
        <v>39</v>
      </c>
      <c r="H767" t="s">
        <v>21</v>
      </c>
      <c r="I767">
        <v>9</v>
      </c>
      <c r="J767">
        <v>1457.53</v>
      </c>
      <c r="K767">
        <v>13117.77</v>
      </c>
      <c r="L767" t="s">
        <v>22</v>
      </c>
      <c r="M767" t="s">
        <v>22</v>
      </c>
      <c r="N767" s="1">
        <v>46203</v>
      </c>
      <c r="O767">
        <v>13117.77</v>
      </c>
    </row>
    <row r="768" spans="1:15" x14ac:dyDescent="0.3">
      <c r="A768" t="s">
        <v>817</v>
      </c>
      <c r="B768" s="1">
        <v>45939</v>
      </c>
      <c r="C768" t="s">
        <v>795</v>
      </c>
      <c r="D768" t="s">
        <v>17</v>
      </c>
      <c r="E768" t="s">
        <v>18</v>
      </c>
      <c r="F768" t="s">
        <v>19</v>
      </c>
      <c r="G768" t="s">
        <v>39</v>
      </c>
      <c r="H768" t="s">
        <v>21</v>
      </c>
      <c r="I768">
        <v>9</v>
      </c>
      <c r="J768">
        <v>1354.5</v>
      </c>
      <c r="K768">
        <v>12190.5</v>
      </c>
      <c r="L768" t="s">
        <v>22</v>
      </c>
      <c r="M768" t="s">
        <v>22</v>
      </c>
      <c r="N768" s="1">
        <v>46203</v>
      </c>
      <c r="O768">
        <v>12190.5</v>
      </c>
    </row>
    <row r="769" spans="1:15" x14ac:dyDescent="0.3">
      <c r="A769" t="s">
        <v>818</v>
      </c>
      <c r="B769" s="1">
        <v>45940</v>
      </c>
      <c r="C769" t="s">
        <v>795</v>
      </c>
      <c r="D769" t="s">
        <v>24</v>
      </c>
      <c r="E769" t="s">
        <v>50</v>
      </c>
      <c r="F769" t="s">
        <v>33</v>
      </c>
      <c r="G769" t="s">
        <v>20</v>
      </c>
      <c r="H769" t="s">
        <v>21</v>
      </c>
      <c r="I769">
        <v>9</v>
      </c>
      <c r="J769">
        <v>849.67</v>
      </c>
      <c r="K769">
        <v>7647.03</v>
      </c>
      <c r="L769" t="s">
        <v>22</v>
      </c>
      <c r="M769" t="s">
        <v>22</v>
      </c>
      <c r="N769" s="1">
        <v>46203</v>
      </c>
      <c r="O769">
        <v>7647.03</v>
      </c>
    </row>
    <row r="770" spans="1:15" x14ac:dyDescent="0.3">
      <c r="A770" t="s">
        <v>819</v>
      </c>
      <c r="B770" s="1">
        <v>45940</v>
      </c>
      <c r="C770" t="s">
        <v>795</v>
      </c>
      <c r="D770" t="s">
        <v>17</v>
      </c>
      <c r="E770" t="s">
        <v>50</v>
      </c>
      <c r="F770" t="s">
        <v>19</v>
      </c>
      <c r="G770" t="s">
        <v>39</v>
      </c>
      <c r="H770" t="s">
        <v>40</v>
      </c>
      <c r="I770">
        <v>9</v>
      </c>
      <c r="J770">
        <v>1501.05</v>
      </c>
      <c r="K770">
        <v>13509.45</v>
      </c>
      <c r="L770" t="s">
        <v>22</v>
      </c>
      <c r="M770" t="s">
        <v>22</v>
      </c>
      <c r="N770" s="1">
        <v>46203</v>
      </c>
      <c r="O770">
        <v>13509.45</v>
      </c>
    </row>
    <row r="771" spans="1:15" x14ac:dyDescent="0.3">
      <c r="A771" t="s">
        <v>820</v>
      </c>
      <c r="B771" s="1">
        <v>45941</v>
      </c>
      <c r="C771" t="s">
        <v>795</v>
      </c>
      <c r="D771" t="s">
        <v>17</v>
      </c>
      <c r="E771" t="s">
        <v>18</v>
      </c>
      <c r="F771" t="s">
        <v>29</v>
      </c>
      <c r="G771" t="s">
        <v>39</v>
      </c>
      <c r="H771" t="s">
        <v>34</v>
      </c>
      <c r="I771">
        <v>9</v>
      </c>
      <c r="J771">
        <v>1462.74</v>
      </c>
      <c r="K771">
        <v>13164.66</v>
      </c>
      <c r="L771" t="s">
        <v>22</v>
      </c>
      <c r="M771" t="s">
        <v>22</v>
      </c>
      <c r="N771" s="1">
        <v>46203</v>
      </c>
      <c r="O771">
        <v>13164.66</v>
      </c>
    </row>
    <row r="772" spans="1:15" x14ac:dyDescent="0.3">
      <c r="A772" t="s">
        <v>821</v>
      </c>
      <c r="B772" s="1">
        <v>45941</v>
      </c>
      <c r="C772" t="s">
        <v>795</v>
      </c>
      <c r="D772" t="s">
        <v>49</v>
      </c>
      <c r="E772" t="s">
        <v>25</v>
      </c>
      <c r="F772" t="s">
        <v>51</v>
      </c>
      <c r="G772" t="s">
        <v>20</v>
      </c>
      <c r="H772" t="s">
        <v>21</v>
      </c>
      <c r="I772">
        <v>9</v>
      </c>
      <c r="J772">
        <v>451.83</v>
      </c>
      <c r="K772">
        <v>4066.47</v>
      </c>
      <c r="L772" t="s">
        <v>22</v>
      </c>
      <c r="M772" t="s">
        <v>22</v>
      </c>
      <c r="N772" s="1">
        <v>46203</v>
      </c>
      <c r="O772">
        <v>4066.47</v>
      </c>
    </row>
    <row r="773" spans="1:15" x14ac:dyDescent="0.3">
      <c r="A773" t="s">
        <v>822</v>
      </c>
      <c r="B773" s="1">
        <v>45941</v>
      </c>
      <c r="C773" t="s">
        <v>795</v>
      </c>
      <c r="D773" t="s">
        <v>49</v>
      </c>
      <c r="E773" t="s">
        <v>25</v>
      </c>
      <c r="F773" t="s">
        <v>29</v>
      </c>
      <c r="G773" t="s">
        <v>39</v>
      </c>
      <c r="H773" t="s">
        <v>21</v>
      </c>
      <c r="I773">
        <v>9</v>
      </c>
      <c r="J773">
        <v>518.15</v>
      </c>
      <c r="K773">
        <v>4663.3500000000004</v>
      </c>
      <c r="L773" t="s">
        <v>22</v>
      </c>
      <c r="M773" t="s">
        <v>22</v>
      </c>
      <c r="N773" s="1">
        <v>46203</v>
      </c>
      <c r="O773">
        <v>4663.3500000000004</v>
      </c>
    </row>
    <row r="774" spans="1:15" x14ac:dyDescent="0.3">
      <c r="A774" t="s">
        <v>823</v>
      </c>
      <c r="B774" s="1">
        <v>45942</v>
      </c>
      <c r="C774" t="s">
        <v>795</v>
      </c>
      <c r="D774" t="s">
        <v>24</v>
      </c>
      <c r="E774" t="s">
        <v>18</v>
      </c>
      <c r="F774" t="s">
        <v>38</v>
      </c>
      <c r="G774" t="s">
        <v>39</v>
      </c>
      <c r="H774" t="s">
        <v>21</v>
      </c>
      <c r="I774">
        <v>9</v>
      </c>
      <c r="J774">
        <v>936.92</v>
      </c>
      <c r="K774">
        <v>8432.2800000000007</v>
      </c>
      <c r="L774" t="s">
        <v>22</v>
      </c>
      <c r="M774" t="s">
        <v>22</v>
      </c>
      <c r="N774" s="1">
        <v>46203</v>
      </c>
      <c r="O774">
        <v>8432.2800000000007</v>
      </c>
    </row>
    <row r="775" spans="1:15" x14ac:dyDescent="0.3">
      <c r="A775" t="s">
        <v>824</v>
      </c>
      <c r="B775" s="1">
        <v>45942</v>
      </c>
      <c r="C775" t="s">
        <v>795</v>
      </c>
      <c r="D775" t="s">
        <v>17</v>
      </c>
      <c r="E775" t="s">
        <v>50</v>
      </c>
      <c r="F775" t="s">
        <v>19</v>
      </c>
      <c r="G775" t="s">
        <v>39</v>
      </c>
      <c r="H775" t="s">
        <v>34</v>
      </c>
      <c r="I775">
        <v>9</v>
      </c>
      <c r="J775">
        <v>1366.36</v>
      </c>
      <c r="K775">
        <v>12297.24</v>
      </c>
      <c r="L775" t="s">
        <v>22</v>
      </c>
      <c r="M775" t="s">
        <v>22</v>
      </c>
      <c r="N775" s="1">
        <v>46203</v>
      </c>
      <c r="O775">
        <v>12297.24</v>
      </c>
    </row>
    <row r="776" spans="1:15" x14ac:dyDescent="0.3">
      <c r="A776" t="s">
        <v>825</v>
      </c>
      <c r="B776" s="1">
        <v>45942</v>
      </c>
      <c r="C776" t="s">
        <v>795</v>
      </c>
      <c r="D776" t="s">
        <v>24</v>
      </c>
      <c r="E776" t="s">
        <v>25</v>
      </c>
      <c r="F776" t="s">
        <v>19</v>
      </c>
      <c r="G776" t="s">
        <v>20</v>
      </c>
      <c r="H776" t="s">
        <v>21</v>
      </c>
      <c r="I776">
        <v>7</v>
      </c>
      <c r="J776">
        <v>919.87</v>
      </c>
      <c r="K776">
        <v>6439.09</v>
      </c>
      <c r="L776" t="s">
        <v>30</v>
      </c>
      <c r="M776" t="s">
        <v>43</v>
      </c>
      <c r="N776" s="1">
        <v>46168</v>
      </c>
      <c r="O776">
        <v>6439.09</v>
      </c>
    </row>
    <row r="777" spans="1:15" x14ac:dyDescent="0.3">
      <c r="A777" t="s">
        <v>826</v>
      </c>
      <c r="B777" s="1">
        <v>45942</v>
      </c>
      <c r="C777" t="s">
        <v>795</v>
      </c>
      <c r="D777" t="s">
        <v>49</v>
      </c>
      <c r="E777" t="s">
        <v>25</v>
      </c>
      <c r="F777" t="s">
        <v>29</v>
      </c>
      <c r="G777" t="s">
        <v>20</v>
      </c>
      <c r="H777" t="s">
        <v>21</v>
      </c>
      <c r="I777">
        <v>9</v>
      </c>
      <c r="J777">
        <v>468.84</v>
      </c>
      <c r="K777">
        <v>4219.5600000000004</v>
      </c>
      <c r="L777" t="s">
        <v>22</v>
      </c>
      <c r="M777" t="s">
        <v>22</v>
      </c>
      <c r="N777" s="1">
        <v>46203</v>
      </c>
      <c r="O777">
        <v>4219.5600000000004</v>
      </c>
    </row>
    <row r="778" spans="1:15" x14ac:dyDescent="0.3">
      <c r="A778" t="s">
        <v>827</v>
      </c>
      <c r="B778" s="1">
        <v>45942</v>
      </c>
      <c r="C778" t="s">
        <v>795</v>
      </c>
      <c r="D778" t="s">
        <v>24</v>
      </c>
      <c r="E778" t="s">
        <v>25</v>
      </c>
      <c r="F778" t="s">
        <v>29</v>
      </c>
      <c r="G778" t="s">
        <v>20</v>
      </c>
      <c r="H778" t="s">
        <v>21</v>
      </c>
      <c r="I778">
        <v>9</v>
      </c>
      <c r="J778">
        <v>890.87</v>
      </c>
      <c r="K778">
        <v>8017.83</v>
      </c>
      <c r="L778" t="s">
        <v>22</v>
      </c>
      <c r="M778" t="s">
        <v>22</v>
      </c>
      <c r="N778" s="1">
        <v>46203</v>
      </c>
      <c r="O778">
        <v>8017.83</v>
      </c>
    </row>
    <row r="779" spans="1:15" x14ac:dyDescent="0.3">
      <c r="A779" t="s">
        <v>828</v>
      </c>
      <c r="B779" s="1">
        <v>45942</v>
      </c>
      <c r="C779" t="s">
        <v>795</v>
      </c>
      <c r="D779" t="s">
        <v>17</v>
      </c>
      <c r="E779" t="s">
        <v>28</v>
      </c>
      <c r="F779" t="s">
        <v>29</v>
      </c>
      <c r="G779" t="s">
        <v>20</v>
      </c>
      <c r="H779" t="s">
        <v>40</v>
      </c>
      <c r="I779">
        <v>9</v>
      </c>
      <c r="J779">
        <v>1510.25</v>
      </c>
      <c r="K779">
        <v>13592.25</v>
      </c>
      <c r="L779" t="s">
        <v>22</v>
      </c>
      <c r="M779" t="s">
        <v>22</v>
      </c>
      <c r="N779" s="1">
        <v>46203</v>
      </c>
      <c r="O779">
        <v>13592.25</v>
      </c>
    </row>
    <row r="780" spans="1:15" x14ac:dyDescent="0.3">
      <c r="A780" t="s">
        <v>829</v>
      </c>
      <c r="B780" s="1">
        <v>45942</v>
      </c>
      <c r="C780" t="s">
        <v>795</v>
      </c>
      <c r="D780" t="s">
        <v>17</v>
      </c>
      <c r="E780" t="s">
        <v>25</v>
      </c>
      <c r="F780" t="s">
        <v>29</v>
      </c>
      <c r="G780" t="s">
        <v>39</v>
      </c>
      <c r="H780" t="s">
        <v>21</v>
      </c>
      <c r="I780">
        <v>7</v>
      </c>
      <c r="J780">
        <v>1600.44</v>
      </c>
      <c r="K780">
        <v>11203.08</v>
      </c>
      <c r="L780" t="s">
        <v>30</v>
      </c>
      <c r="M780" t="s">
        <v>31</v>
      </c>
      <c r="N780" s="1">
        <v>46142</v>
      </c>
      <c r="O780">
        <v>11203.08</v>
      </c>
    </row>
    <row r="781" spans="1:15" x14ac:dyDescent="0.3">
      <c r="A781" t="s">
        <v>830</v>
      </c>
      <c r="B781" s="1">
        <v>45943</v>
      </c>
      <c r="C781" t="s">
        <v>795</v>
      </c>
      <c r="D781" t="s">
        <v>17</v>
      </c>
      <c r="E781" t="s">
        <v>25</v>
      </c>
      <c r="F781" t="s">
        <v>33</v>
      </c>
      <c r="G781" t="s">
        <v>39</v>
      </c>
      <c r="H781" t="s">
        <v>40</v>
      </c>
      <c r="I781">
        <v>9</v>
      </c>
      <c r="J781">
        <v>1375.74</v>
      </c>
      <c r="K781">
        <v>12381.66</v>
      </c>
      <c r="L781" t="s">
        <v>22</v>
      </c>
      <c r="M781" t="s">
        <v>22</v>
      </c>
      <c r="N781" s="1">
        <v>46203</v>
      </c>
      <c r="O781">
        <v>12381.66</v>
      </c>
    </row>
    <row r="782" spans="1:15" x14ac:dyDescent="0.3">
      <c r="A782" t="s">
        <v>831</v>
      </c>
      <c r="B782" s="1">
        <v>45943</v>
      </c>
      <c r="C782" t="s">
        <v>795</v>
      </c>
      <c r="D782" t="s">
        <v>24</v>
      </c>
      <c r="E782" t="s">
        <v>50</v>
      </c>
      <c r="F782" t="s">
        <v>29</v>
      </c>
      <c r="G782" t="s">
        <v>39</v>
      </c>
      <c r="H782" t="s">
        <v>40</v>
      </c>
      <c r="I782">
        <v>9</v>
      </c>
      <c r="J782">
        <v>918.95</v>
      </c>
      <c r="K782">
        <v>8270.5499999999993</v>
      </c>
      <c r="L782" t="s">
        <v>22</v>
      </c>
      <c r="M782" t="s">
        <v>22</v>
      </c>
      <c r="N782" s="1">
        <v>46203</v>
      </c>
      <c r="O782">
        <v>8270.5499999999993</v>
      </c>
    </row>
    <row r="783" spans="1:15" x14ac:dyDescent="0.3">
      <c r="A783" t="s">
        <v>832</v>
      </c>
      <c r="B783" s="1">
        <v>45943</v>
      </c>
      <c r="C783" t="s">
        <v>795</v>
      </c>
      <c r="D783" t="s">
        <v>49</v>
      </c>
      <c r="E783" t="s">
        <v>28</v>
      </c>
      <c r="F783" t="s">
        <v>19</v>
      </c>
      <c r="G783" t="s">
        <v>39</v>
      </c>
      <c r="H783" t="s">
        <v>21</v>
      </c>
      <c r="I783">
        <v>9</v>
      </c>
      <c r="J783">
        <v>503.89</v>
      </c>
      <c r="K783">
        <v>4535.01</v>
      </c>
      <c r="L783" t="s">
        <v>22</v>
      </c>
      <c r="M783" t="s">
        <v>22</v>
      </c>
      <c r="N783" s="1">
        <v>46203</v>
      </c>
      <c r="O783">
        <v>4535.01</v>
      </c>
    </row>
    <row r="784" spans="1:15" x14ac:dyDescent="0.3">
      <c r="A784" t="s">
        <v>833</v>
      </c>
      <c r="B784" s="1">
        <v>45943</v>
      </c>
      <c r="C784" t="s">
        <v>795</v>
      </c>
      <c r="D784" t="s">
        <v>49</v>
      </c>
      <c r="E784" t="s">
        <v>18</v>
      </c>
      <c r="F784" t="s">
        <v>51</v>
      </c>
      <c r="G784" t="s">
        <v>39</v>
      </c>
      <c r="H784" t="s">
        <v>34</v>
      </c>
      <c r="I784">
        <v>9</v>
      </c>
      <c r="J784">
        <v>477.21</v>
      </c>
      <c r="K784">
        <v>4294.8900000000003</v>
      </c>
      <c r="L784" t="s">
        <v>22</v>
      </c>
      <c r="M784" t="s">
        <v>22</v>
      </c>
      <c r="N784" s="1">
        <v>46203</v>
      </c>
      <c r="O784">
        <v>4294.8900000000003</v>
      </c>
    </row>
    <row r="785" spans="1:15" x14ac:dyDescent="0.3">
      <c r="A785" t="s">
        <v>834</v>
      </c>
      <c r="B785" s="1">
        <v>45944</v>
      </c>
      <c r="C785" t="s">
        <v>795</v>
      </c>
      <c r="D785" t="s">
        <v>49</v>
      </c>
      <c r="E785" t="s">
        <v>50</v>
      </c>
      <c r="F785" t="s">
        <v>33</v>
      </c>
      <c r="G785" t="s">
        <v>39</v>
      </c>
      <c r="H785" t="s">
        <v>40</v>
      </c>
      <c r="I785">
        <v>9</v>
      </c>
      <c r="J785">
        <v>499.97</v>
      </c>
      <c r="K785">
        <v>4499.7299999999996</v>
      </c>
      <c r="L785" t="s">
        <v>22</v>
      </c>
      <c r="M785" t="s">
        <v>22</v>
      </c>
      <c r="N785" s="1">
        <v>46203</v>
      </c>
      <c r="O785">
        <v>4499.7299999999996</v>
      </c>
    </row>
    <row r="786" spans="1:15" x14ac:dyDescent="0.3">
      <c r="A786" t="s">
        <v>835</v>
      </c>
      <c r="B786" s="1">
        <v>45944</v>
      </c>
      <c r="C786" t="s">
        <v>795</v>
      </c>
      <c r="D786" t="s">
        <v>24</v>
      </c>
      <c r="E786" t="s">
        <v>25</v>
      </c>
      <c r="F786" t="s">
        <v>19</v>
      </c>
      <c r="G786" t="s">
        <v>20</v>
      </c>
      <c r="H786" t="s">
        <v>34</v>
      </c>
      <c r="I786">
        <v>9</v>
      </c>
      <c r="J786">
        <v>856.06</v>
      </c>
      <c r="K786">
        <v>7704.54</v>
      </c>
      <c r="L786" t="s">
        <v>22</v>
      </c>
      <c r="M786" t="s">
        <v>22</v>
      </c>
      <c r="N786" s="1">
        <v>46203</v>
      </c>
      <c r="O786">
        <v>7704.54</v>
      </c>
    </row>
    <row r="787" spans="1:15" x14ac:dyDescent="0.3">
      <c r="A787" t="s">
        <v>836</v>
      </c>
      <c r="B787" s="1">
        <v>45944</v>
      </c>
      <c r="C787" t="s">
        <v>795</v>
      </c>
      <c r="D787" t="s">
        <v>24</v>
      </c>
      <c r="E787" t="s">
        <v>25</v>
      </c>
      <c r="F787" t="s">
        <v>29</v>
      </c>
      <c r="G787" t="s">
        <v>39</v>
      </c>
      <c r="H787" t="s">
        <v>21</v>
      </c>
      <c r="I787">
        <v>9</v>
      </c>
      <c r="J787">
        <v>943.36</v>
      </c>
      <c r="K787">
        <v>8490.24</v>
      </c>
      <c r="L787" t="s">
        <v>22</v>
      </c>
      <c r="M787" t="s">
        <v>22</v>
      </c>
      <c r="N787" s="1">
        <v>46203</v>
      </c>
      <c r="O787">
        <v>8490.24</v>
      </c>
    </row>
    <row r="788" spans="1:15" x14ac:dyDescent="0.3">
      <c r="A788" t="s">
        <v>837</v>
      </c>
      <c r="B788" s="1">
        <v>45944</v>
      </c>
      <c r="C788" t="s">
        <v>795</v>
      </c>
      <c r="D788" t="s">
        <v>49</v>
      </c>
      <c r="E788" t="s">
        <v>28</v>
      </c>
      <c r="F788" t="s">
        <v>51</v>
      </c>
      <c r="G788" t="s">
        <v>39</v>
      </c>
      <c r="H788" t="s">
        <v>45</v>
      </c>
      <c r="I788">
        <v>9</v>
      </c>
      <c r="J788">
        <v>515.70000000000005</v>
      </c>
      <c r="K788">
        <v>4641.3</v>
      </c>
      <c r="L788" t="s">
        <v>22</v>
      </c>
      <c r="M788" t="s">
        <v>22</v>
      </c>
      <c r="N788" s="1">
        <v>46203</v>
      </c>
      <c r="O788">
        <v>4641.3</v>
      </c>
    </row>
    <row r="789" spans="1:15" x14ac:dyDescent="0.3">
      <c r="A789" t="s">
        <v>838</v>
      </c>
      <c r="B789" s="1">
        <v>45944</v>
      </c>
      <c r="C789" t="s">
        <v>795</v>
      </c>
      <c r="D789" t="s">
        <v>24</v>
      </c>
      <c r="E789" t="s">
        <v>28</v>
      </c>
      <c r="F789" t="s">
        <v>38</v>
      </c>
      <c r="G789" t="s">
        <v>39</v>
      </c>
      <c r="H789" t="s">
        <v>45</v>
      </c>
      <c r="I789">
        <v>9</v>
      </c>
      <c r="J789">
        <v>845.58</v>
      </c>
      <c r="K789">
        <v>7610.22</v>
      </c>
      <c r="L789" t="s">
        <v>22</v>
      </c>
      <c r="M789" t="s">
        <v>22</v>
      </c>
      <c r="N789" s="1">
        <v>46203</v>
      </c>
      <c r="O789">
        <v>7610.22</v>
      </c>
    </row>
    <row r="790" spans="1:15" x14ac:dyDescent="0.3">
      <c r="A790" t="s">
        <v>839</v>
      </c>
      <c r="B790" s="1">
        <v>45944</v>
      </c>
      <c r="C790" t="s">
        <v>795</v>
      </c>
      <c r="D790" t="s">
        <v>49</v>
      </c>
      <c r="E790" t="s">
        <v>25</v>
      </c>
      <c r="F790" t="s">
        <v>38</v>
      </c>
      <c r="G790" t="s">
        <v>20</v>
      </c>
      <c r="H790" t="s">
        <v>21</v>
      </c>
      <c r="I790">
        <v>9</v>
      </c>
      <c r="J790">
        <v>547.01</v>
      </c>
      <c r="K790">
        <v>4923.09</v>
      </c>
      <c r="L790" t="s">
        <v>22</v>
      </c>
      <c r="M790" t="s">
        <v>22</v>
      </c>
      <c r="N790" s="1">
        <v>46203</v>
      </c>
      <c r="O790">
        <v>4923.09</v>
      </c>
    </row>
    <row r="791" spans="1:15" x14ac:dyDescent="0.3">
      <c r="A791" t="s">
        <v>840</v>
      </c>
      <c r="B791" s="1">
        <v>45944</v>
      </c>
      <c r="C791" t="s">
        <v>795</v>
      </c>
      <c r="D791" t="s">
        <v>24</v>
      </c>
      <c r="E791" t="s">
        <v>25</v>
      </c>
      <c r="F791" t="s">
        <v>38</v>
      </c>
      <c r="G791" t="s">
        <v>39</v>
      </c>
      <c r="H791" t="s">
        <v>21</v>
      </c>
      <c r="I791">
        <v>5</v>
      </c>
      <c r="J791">
        <v>848.84</v>
      </c>
      <c r="K791">
        <v>4244.2</v>
      </c>
      <c r="L791" t="s">
        <v>30</v>
      </c>
      <c r="M791" t="s">
        <v>41</v>
      </c>
      <c r="N791" s="1">
        <v>46101</v>
      </c>
      <c r="O791">
        <v>4244.2</v>
      </c>
    </row>
    <row r="792" spans="1:15" x14ac:dyDescent="0.3">
      <c r="A792" t="s">
        <v>841</v>
      </c>
      <c r="B792" s="1">
        <v>45945</v>
      </c>
      <c r="C792" t="s">
        <v>795</v>
      </c>
      <c r="D792" t="s">
        <v>17</v>
      </c>
      <c r="E792" t="s">
        <v>50</v>
      </c>
      <c r="F792" t="s">
        <v>29</v>
      </c>
      <c r="G792" t="s">
        <v>26</v>
      </c>
      <c r="H792" t="s">
        <v>40</v>
      </c>
      <c r="I792">
        <v>8</v>
      </c>
      <c r="J792">
        <v>1643.81</v>
      </c>
      <c r="K792">
        <v>13150.48</v>
      </c>
      <c r="L792" t="s">
        <v>22</v>
      </c>
      <c r="M792" t="s">
        <v>22</v>
      </c>
      <c r="N792" s="1">
        <v>46203</v>
      </c>
      <c r="O792">
        <v>13150.48</v>
      </c>
    </row>
    <row r="793" spans="1:15" x14ac:dyDescent="0.3">
      <c r="A793" t="s">
        <v>842</v>
      </c>
      <c r="B793" s="1">
        <v>45945</v>
      </c>
      <c r="C793" t="s">
        <v>795</v>
      </c>
      <c r="D793" t="s">
        <v>24</v>
      </c>
      <c r="E793" t="s">
        <v>28</v>
      </c>
      <c r="F793" t="s">
        <v>19</v>
      </c>
      <c r="G793" t="s">
        <v>39</v>
      </c>
      <c r="H793" t="s">
        <v>45</v>
      </c>
      <c r="I793">
        <v>8</v>
      </c>
      <c r="J793">
        <v>983.26</v>
      </c>
      <c r="K793">
        <v>7866.08</v>
      </c>
      <c r="L793" t="s">
        <v>22</v>
      </c>
      <c r="M793" t="s">
        <v>22</v>
      </c>
      <c r="N793" s="1">
        <v>46203</v>
      </c>
      <c r="O793">
        <v>7866.08</v>
      </c>
    </row>
    <row r="794" spans="1:15" x14ac:dyDescent="0.3">
      <c r="A794" t="s">
        <v>843</v>
      </c>
      <c r="B794" s="1">
        <v>45945</v>
      </c>
      <c r="C794" t="s">
        <v>795</v>
      </c>
      <c r="D794" t="s">
        <v>24</v>
      </c>
      <c r="E794" t="s">
        <v>28</v>
      </c>
      <c r="F794" t="s">
        <v>19</v>
      </c>
      <c r="G794" t="s">
        <v>39</v>
      </c>
      <c r="H794" t="s">
        <v>34</v>
      </c>
      <c r="I794">
        <v>3</v>
      </c>
      <c r="J794">
        <v>987.3</v>
      </c>
      <c r="K794">
        <v>2961.9</v>
      </c>
      <c r="L794" t="s">
        <v>30</v>
      </c>
      <c r="M794" t="s">
        <v>36</v>
      </c>
      <c r="N794" s="1">
        <v>46039</v>
      </c>
      <c r="O794">
        <v>2961.9</v>
      </c>
    </row>
    <row r="795" spans="1:15" x14ac:dyDescent="0.3">
      <c r="A795" t="s">
        <v>844</v>
      </c>
      <c r="B795" s="1">
        <v>45945</v>
      </c>
      <c r="C795" t="s">
        <v>795</v>
      </c>
      <c r="D795" t="s">
        <v>24</v>
      </c>
      <c r="E795" t="s">
        <v>25</v>
      </c>
      <c r="F795" t="s">
        <v>33</v>
      </c>
      <c r="G795" t="s">
        <v>39</v>
      </c>
      <c r="H795" t="s">
        <v>21</v>
      </c>
      <c r="I795">
        <v>3</v>
      </c>
      <c r="J795">
        <v>909.17</v>
      </c>
      <c r="K795">
        <v>2727.51</v>
      </c>
      <c r="L795" t="s">
        <v>30</v>
      </c>
      <c r="M795" t="s">
        <v>36</v>
      </c>
      <c r="N795" s="1">
        <v>46037</v>
      </c>
      <c r="O795">
        <v>2727.51</v>
      </c>
    </row>
    <row r="796" spans="1:15" x14ac:dyDescent="0.3">
      <c r="A796" t="s">
        <v>845</v>
      </c>
      <c r="B796" s="1">
        <v>45947</v>
      </c>
      <c r="C796" t="s">
        <v>795</v>
      </c>
      <c r="D796" t="s">
        <v>49</v>
      </c>
      <c r="E796" t="s">
        <v>18</v>
      </c>
      <c r="F796" t="s">
        <v>38</v>
      </c>
      <c r="G796" t="s">
        <v>20</v>
      </c>
      <c r="H796" t="s">
        <v>21</v>
      </c>
      <c r="I796">
        <v>8</v>
      </c>
      <c r="J796">
        <v>467.38</v>
      </c>
      <c r="K796">
        <v>3739.04</v>
      </c>
      <c r="L796" t="s">
        <v>22</v>
      </c>
      <c r="M796" t="s">
        <v>22</v>
      </c>
      <c r="N796" s="1">
        <v>46203</v>
      </c>
      <c r="O796">
        <v>3739.04</v>
      </c>
    </row>
    <row r="797" spans="1:15" x14ac:dyDescent="0.3">
      <c r="A797" t="s">
        <v>846</v>
      </c>
      <c r="B797" s="1">
        <v>45947</v>
      </c>
      <c r="C797" t="s">
        <v>795</v>
      </c>
      <c r="D797" t="s">
        <v>24</v>
      </c>
      <c r="E797" t="s">
        <v>25</v>
      </c>
      <c r="F797" t="s">
        <v>29</v>
      </c>
      <c r="G797" t="s">
        <v>39</v>
      </c>
      <c r="H797" t="s">
        <v>40</v>
      </c>
      <c r="I797">
        <v>8</v>
      </c>
      <c r="J797">
        <v>954.41</v>
      </c>
      <c r="K797">
        <v>7635.28</v>
      </c>
      <c r="L797" t="s">
        <v>22</v>
      </c>
      <c r="M797" t="s">
        <v>22</v>
      </c>
      <c r="N797" s="1">
        <v>46203</v>
      </c>
      <c r="O797">
        <v>7635.28</v>
      </c>
    </row>
    <row r="798" spans="1:15" x14ac:dyDescent="0.3">
      <c r="A798" t="s">
        <v>847</v>
      </c>
      <c r="B798" s="1">
        <v>45947</v>
      </c>
      <c r="C798" t="s">
        <v>795</v>
      </c>
      <c r="D798" t="s">
        <v>24</v>
      </c>
      <c r="E798" t="s">
        <v>25</v>
      </c>
      <c r="F798" t="s">
        <v>19</v>
      </c>
      <c r="G798" t="s">
        <v>26</v>
      </c>
      <c r="H798" t="s">
        <v>40</v>
      </c>
      <c r="I798">
        <v>5</v>
      </c>
      <c r="J798">
        <v>823.49</v>
      </c>
      <c r="K798">
        <v>4117.45</v>
      </c>
      <c r="L798" t="s">
        <v>30</v>
      </c>
      <c r="M798" t="s">
        <v>41</v>
      </c>
      <c r="N798" s="1">
        <v>46093</v>
      </c>
      <c r="O798">
        <v>4117.45</v>
      </c>
    </row>
    <row r="799" spans="1:15" x14ac:dyDescent="0.3">
      <c r="A799" t="s">
        <v>848</v>
      </c>
      <c r="B799" s="1">
        <v>45948</v>
      </c>
      <c r="C799" t="s">
        <v>795</v>
      </c>
      <c r="D799" t="s">
        <v>24</v>
      </c>
      <c r="E799" t="s">
        <v>28</v>
      </c>
      <c r="F799" t="s">
        <v>33</v>
      </c>
      <c r="G799" t="s">
        <v>20</v>
      </c>
      <c r="H799" t="s">
        <v>40</v>
      </c>
      <c r="I799">
        <v>8</v>
      </c>
      <c r="J799">
        <v>839.13</v>
      </c>
      <c r="K799">
        <v>6713.04</v>
      </c>
      <c r="L799" t="s">
        <v>22</v>
      </c>
      <c r="M799" t="s">
        <v>22</v>
      </c>
      <c r="N799" s="1">
        <v>46203</v>
      </c>
      <c r="O799">
        <v>6713.04</v>
      </c>
    </row>
    <row r="800" spans="1:15" x14ac:dyDescent="0.3">
      <c r="A800" t="s">
        <v>849</v>
      </c>
      <c r="B800" s="1">
        <v>45948</v>
      </c>
      <c r="C800" t="s">
        <v>795</v>
      </c>
      <c r="D800" t="s">
        <v>49</v>
      </c>
      <c r="E800" t="s">
        <v>50</v>
      </c>
      <c r="F800" t="s">
        <v>19</v>
      </c>
      <c r="G800" t="s">
        <v>39</v>
      </c>
      <c r="H800" t="s">
        <v>40</v>
      </c>
      <c r="I800">
        <v>8</v>
      </c>
      <c r="J800">
        <v>460.4</v>
      </c>
      <c r="K800">
        <v>3683.2</v>
      </c>
      <c r="L800" t="s">
        <v>22</v>
      </c>
      <c r="M800" t="s">
        <v>22</v>
      </c>
      <c r="N800" s="1">
        <v>46203</v>
      </c>
      <c r="O800">
        <v>3683.2</v>
      </c>
    </row>
    <row r="801" spans="1:15" x14ac:dyDescent="0.3">
      <c r="A801" t="s">
        <v>850</v>
      </c>
      <c r="B801" s="1">
        <v>45948</v>
      </c>
      <c r="C801" t="s">
        <v>795</v>
      </c>
      <c r="D801" t="s">
        <v>24</v>
      </c>
      <c r="E801" t="s">
        <v>28</v>
      </c>
      <c r="F801" t="s">
        <v>33</v>
      </c>
      <c r="G801" t="s">
        <v>20</v>
      </c>
      <c r="H801" t="s">
        <v>34</v>
      </c>
      <c r="I801">
        <v>8</v>
      </c>
      <c r="J801">
        <v>833.57</v>
      </c>
      <c r="K801">
        <v>6668.56</v>
      </c>
      <c r="L801" t="s">
        <v>22</v>
      </c>
      <c r="M801" t="s">
        <v>22</v>
      </c>
      <c r="N801" s="1">
        <v>46203</v>
      </c>
      <c r="O801">
        <v>6668.56</v>
      </c>
    </row>
    <row r="802" spans="1:15" x14ac:dyDescent="0.3">
      <c r="A802" t="s">
        <v>851</v>
      </c>
      <c r="B802" s="1">
        <v>45948</v>
      </c>
      <c r="C802" t="s">
        <v>795</v>
      </c>
      <c r="D802" t="s">
        <v>49</v>
      </c>
      <c r="E802" t="s">
        <v>28</v>
      </c>
      <c r="F802" t="s">
        <v>33</v>
      </c>
      <c r="G802" t="s">
        <v>20</v>
      </c>
      <c r="H802" t="s">
        <v>21</v>
      </c>
      <c r="I802">
        <v>8</v>
      </c>
      <c r="J802">
        <v>463.87</v>
      </c>
      <c r="K802">
        <v>3710.96</v>
      </c>
      <c r="L802" t="s">
        <v>22</v>
      </c>
      <c r="M802" t="s">
        <v>22</v>
      </c>
      <c r="N802" s="1">
        <v>46203</v>
      </c>
      <c r="O802">
        <v>3710.96</v>
      </c>
    </row>
    <row r="803" spans="1:15" x14ac:dyDescent="0.3">
      <c r="A803" t="s">
        <v>852</v>
      </c>
      <c r="B803" s="1">
        <v>45948</v>
      </c>
      <c r="C803" t="s">
        <v>795</v>
      </c>
      <c r="D803" t="s">
        <v>17</v>
      </c>
      <c r="E803" t="s">
        <v>25</v>
      </c>
      <c r="F803" t="s">
        <v>33</v>
      </c>
      <c r="G803" t="s">
        <v>26</v>
      </c>
      <c r="H803" t="s">
        <v>34</v>
      </c>
      <c r="I803">
        <v>8</v>
      </c>
      <c r="J803">
        <v>1513.41</v>
      </c>
      <c r="K803">
        <v>12107.28</v>
      </c>
      <c r="L803" t="s">
        <v>22</v>
      </c>
      <c r="M803" t="s">
        <v>22</v>
      </c>
      <c r="N803" s="1">
        <v>46203</v>
      </c>
      <c r="O803">
        <v>12107.28</v>
      </c>
    </row>
    <row r="804" spans="1:15" x14ac:dyDescent="0.3">
      <c r="A804" t="s">
        <v>853</v>
      </c>
      <c r="B804" s="1">
        <v>45948</v>
      </c>
      <c r="C804" t="s">
        <v>795</v>
      </c>
      <c r="D804" t="s">
        <v>24</v>
      </c>
      <c r="E804" t="s">
        <v>25</v>
      </c>
      <c r="F804" t="s">
        <v>19</v>
      </c>
      <c r="G804" t="s">
        <v>39</v>
      </c>
      <c r="H804" t="s">
        <v>21</v>
      </c>
      <c r="I804">
        <v>8</v>
      </c>
      <c r="J804">
        <v>869.61</v>
      </c>
      <c r="K804">
        <v>6956.88</v>
      </c>
      <c r="L804" t="s">
        <v>22</v>
      </c>
      <c r="M804" t="s">
        <v>22</v>
      </c>
      <c r="N804" s="1">
        <v>46203</v>
      </c>
      <c r="O804">
        <v>6956.88</v>
      </c>
    </row>
    <row r="805" spans="1:15" x14ac:dyDescent="0.3">
      <c r="A805" t="s">
        <v>854</v>
      </c>
      <c r="B805" s="1">
        <v>45949</v>
      </c>
      <c r="C805" t="s">
        <v>795</v>
      </c>
      <c r="D805" t="s">
        <v>24</v>
      </c>
      <c r="E805" t="s">
        <v>25</v>
      </c>
      <c r="F805" t="s">
        <v>38</v>
      </c>
      <c r="G805" t="s">
        <v>39</v>
      </c>
      <c r="H805" t="s">
        <v>40</v>
      </c>
      <c r="I805">
        <v>5</v>
      </c>
      <c r="J805">
        <v>837.04</v>
      </c>
      <c r="K805">
        <v>4185.2</v>
      </c>
      <c r="L805" t="s">
        <v>30</v>
      </c>
      <c r="M805" t="s">
        <v>43</v>
      </c>
      <c r="N805" s="1">
        <v>46093</v>
      </c>
      <c r="O805">
        <v>4185.2</v>
      </c>
    </row>
    <row r="806" spans="1:15" x14ac:dyDescent="0.3">
      <c r="A806" t="s">
        <v>855</v>
      </c>
      <c r="B806" s="1">
        <v>45950</v>
      </c>
      <c r="C806" t="s">
        <v>795</v>
      </c>
      <c r="D806" t="s">
        <v>49</v>
      </c>
      <c r="E806" t="s">
        <v>25</v>
      </c>
      <c r="F806" t="s">
        <v>19</v>
      </c>
      <c r="G806" t="s">
        <v>20</v>
      </c>
      <c r="H806" t="s">
        <v>34</v>
      </c>
      <c r="I806">
        <v>8</v>
      </c>
      <c r="J806">
        <v>496.21</v>
      </c>
      <c r="K806">
        <v>3969.68</v>
      </c>
      <c r="L806" t="s">
        <v>22</v>
      </c>
      <c r="M806" t="s">
        <v>22</v>
      </c>
      <c r="N806" s="1">
        <v>46203</v>
      </c>
      <c r="O806">
        <v>3969.68</v>
      </c>
    </row>
    <row r="807" spans="1:15" x14ac:dyDescent="0.3">
      <c r="A807" t="s">
        <v>856</v>
      </c>
      <c r="B807" s="1">
        <v>45950</v>
      </c>
      <c r="C807" t="s">
        <v>795</v>
      </c>
      <c r="D807" t="s">
        <v>17</v>
      </c>
      <c r="E807" t="s">
        <v>25</v>
      </c>
      <c r="F807" t="s">
        <v>33</v>
      </c>
      <c r="G807" t="s">
        <v>20</v>
      </c>
      <c r="H807" t="s">
        <v>45</v>
      </c>
      <c r="I807">
        <v>8</v>
      </c>
      <c r="J807">
        <v>1567.36</v>
      </c>
      <c r="K807">
        <v>12538.88</v>
      </c>
      <c r="L807" t="s">
        <v>22</v>
      </c>
      <c r="M807" t="s">
        <v>22</v>
      </c>
      <c r="N807" s="1">
        <v>46203</v>
      </c>
      <c r="O807">
        <v>12538.88</v>
      </c>
    </row>
    <row r="808" spans="1:15" x14ac:dyDescent="0.3">
      <c r="A808" t="s">
        <v>857</v>
      </c>
      <c r="B808" s="1">
        <v>45950</v>
      </c>
      <c r="C808" t="s">
        <v>795</v>
      </c>
      <c r="D808" t="s">
        <v>24</v>
      </c>
      <c r="E808" t="s">
        <v>25</v>
      </c>
      <c r="F808" t="s">
        <v>33</v>
      </c>
      <c r="G808" t="s">
        <v>39</v>
      </c>
      <c r="H808" t="s">
        <v>40</v>
      </c>
      <c r="I808">
        <v>8</v>
      </c>
      <c r="J808">
        <v>876.44</v>
      </c>
      <c r="K808">
        <v>7011.52</v>
      </c>
      <c r="L808" t="s">
        <v>22</v>
      </c>
      <c r="M808" t="s">
        <v>22</v>
      </c>
      <c r="N808" s="1">
        <v>46203</v>
      </c>
      <c r="O808">
        <v>7011.52</v>
      </c>
    </row>
    <row r="809" spans="1:15" x14ac:dyDescent="0.3">
      <c r="A809" t="s">
        <v>858</v>
      </c>
      <c r="B809" s="1">
        <v>45950</v>
      </c>
      <c r="C809" t="s">
        <v>795</v>
      </c>
      <c r="D809" t="s">
        <v>17</v>
      </c>
      <c r="E809" t="s">
        <v>50</v>
      </c>
      <c r="F809" t="s">
        <v>33</v>
      </c>
      <c r="G809" t="s">
        <v>39</v>
      </c>
      <c r="H809" t="s">
        <v>34</v>
      </c>
      <c r="I809">
        <v>5</v>
      </c>
      <c r="J809">
        <v>1624.7</v>
      </c>
      <c r="K809">
        <v>8123.5</v>
      </c>
      <c r="L809" t="s">
        <v>30</v>
      </c>
      <c r="M809" t="s">
        <v>43</v>
      </c>
      <c r="N809" s="1">
        <v>46101</v>
      </c>
      <c r="O809">
        <v>8123.5</v>
      </c>
    </row>
    <row r="810" spans="1:15" x14ac:dyDescent="0.3">
      <c r="A810" t="s">
        <v>859</v>
      </c>
      <c r="B810" s="1">
        <v>45950</v>
      </c>
      <c r="C810" t="s">
        <v>795</v>
      </c>
      <c r="D810" t="s">
        <v>49</v>
      </c>
      <c r="E810" t="s">
        <v>25</v>
      </c>
      <c r="F810" t="s">
        <v>38</v>
      </c>
      <c r="G810" t="s">
        <v>39</v>
      </c>
      <c r="H810" t="s">
        <v>21</v>
      </c>
      <c r="I810">
        <v>8</v>
      </c>
      <c r="J810">
        <v>455.72</v>
      </c>
      <c r="K810">
        <v>3645.76</v>
      </c>
      <c r="L810" t="s">
        <v>22</v>
      </c>
      <c r="M810" t="s">
        <v>22</v>
      </c>
      <c r="N810" s="1">
        <v>46203</v>
      </c>
      <c r="O810">
        <v>3645.76</v>
      </c>
    </row>
    <row r="811" spans="1:15" x14ac:dyDescent="0.3">
      <c r="A811" t="s">
        <v>860</v>
      </c>
      <c r="B811" s="1">
        <v>45951</v>
      </c>
      <c r="C811" t="s">
        <v>795</v>
      </c>
      <c r="D811" t="s">
        <v>24</v>
      </c>
      <c r="E811" t="s">
        <v>50</v>
      </c>
      <c r="F811" t="s">
        <v>38</v>
      </c>
      <c r="G811" t="s">
        <v>26</v>
      </c>
      <c r="H811" t="s">
        <v>21</v>
      </c>
      <c r="I811">
        <v>8</v>
      </c>
      <c r="J811">
        <v>886.75</v>
      </c>
      <c r="K811">
        <v>7094</v>
      </c>
      <c r="L811" t="s">
        <v>22</v>
      </c>
      <c r="M811" t="s">
        <v>22</v>
      </c>
      <c r="N811" s="1">
        <v>46203</v>
      </c>
      <c r="O811">
        <v>7094</v>
      </c>
    </row>
    <row r="812" spans="1:15" x14ac:dyDescent="0.3">
      <c r="A812" t="s">
        <v>861</v>
      </c>
      <c r="B812" s="1">
        <v>45951</v>
      </c>
      <c r="C812" t="s">
        <v>795</v>
      </c>
      <c r="D812" t="s">
        <v>17</v>
      </c>
      <c r="E812" t="s">
        <v>18</v>
      </c>
      <c r="F812" t="s">
        <v>29</v>
      </c>
      <c r="G812" t="s">
        <v>39</v>
      </c>
      <c r="H812" t="s">
        <v>45</v>
      </c>
      <c r="I812">
        <v>8</v>
      </c>
      <c r="J812">
        <v>1618.11</v>
      </c>
      <c r="K812">
        <v>12944.88</v>
      </c>
      <c r="L812" t="s">
        <v>22</v>
      </c>
      <c r="M812" t="s">
        <v>22</v>
      </c>
      <c r="N812" s="1">
        <v>46203</v>
      </c>
      <c r="O812">
        <v>12944.88</v>
      </c>
    </row>
    <row r="813" spans="1:15" x14ac:dyDescent="0.3">
      <c r="A813" t="s">
        <v>862</v>
      </c>
      <c r="B813" s="1">
        <v>45951</v>
      </c>
      <c r="C813" t="s">
        <v>795</v>
      </c>
      <c r="D813" t="s">
        <v>24</v>
      </c>
      <c r="E813" t="s">
        <v>25</v>
      </c>
      <c r="F813" t="s">
        <v>51</v>
      </c>
      <c r="G813" t="s">
        <v>39</v>
      </c>
      <c r="H813" t="s">
        <v>40</v>
      </c>
      <c r="I813">
        <v>8</v>
      </c>
      <c r="J813">
        <v>951.35</v>
      </c>
      <c r="K813">
        <v>7610.8</v>
      </c>
      <c r="L813" t="s">
        <v>22</v>
      </c>
      <c r="M813" t="s">
        <v>22</v>
      </c>
      <c r="N813" s="1">
        <v>46203</v>
      </c>
      <c r="O813">
        <v>7610.8</v>
      </c>
    </row>
    <row r="814" spans="1:15" x14ac:dyDescent="0.3">
      <c r="A814" t="s">
        <v>863</v>
      </c>
      <c r="B814" s="1">
        <v>45951</v>
      </c>
      <c r="C814" t="s">
        <v>795</v>
      </c>
      <c r="D814" t="s">
        <v>49</v>
      </c>
      <c r="E814" t="s">
        <v>18</v>
      </c>
      <c r="F814" t="s">
        <v>33</v>
      </c>
      <c r="G814" t="s">
        <v>39</v>
      </c>
      <c r="H814" t="s">
        <v>21</v>
      </c>
      <c r="I814">
        <v>8</v>
      </c>
      <c r="J814">
        <v>477.35</v>
      </c>
      <c r="K814">
        <v>3818.8</v>
      </c>
      <c r="L814" t="s">
        <v>22</v>
      </c>
      <c r="M814" t="s">
        <v>22</v>
      </c>
      <c r="N814" s="1">
        <v>46203</v>
      </c>
      <c r="O814">
        <v>3818.8</v>
      </c>
    </row>
    <row r="815" spans="1:15" x14ac:dyDescent="0.3">
      <c r="A815" t="s">
        <v>864</v>
      </c>
      <c r="B815" s="1">
        <v>45951</v>
      </c>
      <c r="C815" t="s">
        <v>795</v>
      </c>
      <c r="D815" t="s">
        <v>17</v>
      </c>
      <c r="E815" t="s">
        <v>18</v>
      </c>
      <c r="F815" t="s">
        <v>19</v>
      </c>
      <c r="G815" t="s">
        <v>20</v>
      </c>
      <c r="H815" t="s">
        <v>40</v>
      </c>
      <c r="I815">
        <v>8</v>
      </c>
      <c r="J815">
        <v>1594.12</v>
      </c>
      <c r="K815">
        <v>12752.96</v>
      </c>
      <c r="L815" t="s">
        <v>22</v>
      </c>
      <c r="M815" t="s">
        <v>22</v>
      </c>
      <c r="N815" s="1">
        <v>46203</v>
      </c>
      <c r="O815">
        <v>12752.96</v>
      </c>
    </row>
    <row r="816" spans="1:15" x14ac:dyDescent="0.3">
      <c r="A816" t="s">
        <v>865</v>
      </c>
      <c r="B816" s="1">
        <v>45951</v>
      </c>
      <c r="C816" t="s">
        <v>795</v>
      </c>
      <c r="D816" t="s">
        <v>49</v>
      </c>
      <c r="E816" t="s">
        <v>50</v>
      </c>
      <c r="F816" t="s">
        <v>19</v>
      </c>
      <c r="G816" t="s">
        <v>39</v>
      </c>
      <c r="H816" t="s">
        <v>21</v>
      </c>
      <c r="I816">
        <v>8</v>
      </c>
      <c r="J816">
        <v>453.77</v>
      </c>
      <c r="K816">
        <v>3630.16</v>
      </c>
      <c r="L816" t="s">
        <v>22</v>
      </c>
      <c r="M816" t="s">
        <v>22</v>
      </c>
      <c r="N816" s="1">
        <v>46203</v>
      </c>
      <c r="O816">
        <v>3630.16</v>
      </c>
    </row>
    <row r="817" spans="1:15" x14ac:dyDescent="0.3">
      <c r="A817" t="s">
        <v>866</v>
      </c>
      <c r="B817" s="1">
        <v>45952</v>
      </c>
      <c r="C817" t="s">
        <v>795</v>
      </c>
      <c r="D817" t="s">
        <v>49</v>
      </c>
      <c r="E817" t="s">
        <v>18</v>
      </c>
      <c r="F817" t="s">
        <v>38</v>
      </c>
      <c r="G817" t="s">
        <v>39</v>
      </c>
      <c r="H817" t="s">
        <v>40</v>
      </c>
      <c r="I817">
        <v>8</v>
      </c>
      <c r="J817">
        <v>530.92999999999995</v>
      </c>
      <c r="K817">
        <v>4247.4399999999996</v>
      </c>
      <c r="L817" t="s">
        <v>22</v>
      </c>
      <c r="M817" t="s">
        <v>22</v>
      </c>
      <c r="N817" s="1">
        <v>46203</v>
      </c>
      <c r="O817">
        <v>4247.4399999999996</v>
      </c>
    </row>
    <row r="818" spans="1:15" x14ac:dyDescent="0.3">
      <c r="A818" t="s">
        <v>867</v>
      </c>
      <c r="B818" s="1">
        <v>45953</v>
      </c>
      <c r="C818" t="s">
        <v>795</v>
      </c>
      <c r="D818" t="s">
        <v>24</v>
      </c>
      <c r="E818" t="s">
        <v>25</v>
      </c>
      <c r="F818" t="s">
        <v>19</v>
      </c>
      <c r="G818" t="s">
        <v>39</v>
      </c>
      <c r="H818" t="s">
        <v>34</v>
      </c>
      <c r="I818">
        <v>6</v>
      </c>
      <c r="J818">
        <v>826.43</v>
      </c>
      <c r="K818">
        <v>4958.58</v>
      </c>
      <c r="L818" t="s">
        <v>30</v>
      </c>
      <c r="M818" t="s">
        <v>36</v>
      </c>
      <c r="N818" s="1">
        <v>46133</v>
      </c>
      <c r="O818">
        <v>4958.58</v>
      </c>
    </row>
    <row r="819" spans="1:15" x14ac:dyDescent="0.3">
      <c r="A819" t="s">
        <v>868</v>
      </c>
      <c r="B819" s="1">
        <v>45953</v>
      </c>
      <c r="C819" t="s">
        <v>795</v>
      </c>
      <c r="D819" t="s">
        <v>49</v>
      </c>
      <c r="E819" t="s">
        <v>25</v>
      </c>
      <c r="F819" t="s">
        <v>38</v>
      </c>
      <c r="G819" t="s">
        <v>26</v>
      </c>
      <c r="H819" t="s">
        <v>34</v>
      </c>
      <c r="I819">
        <v>5</v>
      </c>
      <c r="J819">
        <v>514.02</v>
      </c>
      <c r="K819">
        <v>2570.1</v>
      </c>
      <c r="L819" t="s">
        <v>30</v>
      </c>
      <c r="M819" t="s">
        <v>80</v>
      </c>
      <c r="N819" s="1">
        <v>46116</v>
      </c>
      <c r="O819">
        <v>2570.1</v>
      </c>
    </row>
    <row r="820" spans="1:15" x14ac:dyDescent="0.3">
      <c r="A820" t="s">
        <v>869</v>
      </c>
      <c r="B820" s="1">
        <v>45953</v>
      </c>
      <c r="C820" t="s">
        <v>795</v>
      </c>
      <c r="D820" t="s">
        <v>49</v>
      </c>
      <c r="E820" t="s">
        <v>50</v>
      </c>
      <c r="F820" t="s">
        <v>19</v>
      </c>
      <c r="G820" t="s">
        <v>39</v>
      </c>
      <c r="H820" t="s">
        <v>34</v>
      </c>
      <c r="I820">
        <v>8</v>
      </c>
      <c r="J820">
        <v>491.76</v>
      </c>
      <c r="K820">
        <v>3934.08</v>
      </c>
      <c r="L820" t="s">
        <v>22</v>
      </c>
      <c r="M820" t="s">
        <v>22</v>
      </c>
      <c r="N820" s="1">
        <v>46203</v>
      </c>
      <c r="O820">
        <v>3934.08</v>
      </c>
    </row>
    <row r="821" spans="1:15" x14ac:dyDescent="0.3">
      <c r="A821" t="s">
        <v>870</v>
      </c>
      <c r="B821" s="1">
        <v>45954</v>
      </c>
      <c r="C821" t="s">
        <v>795</v>
      </c>
      <c r="D821" t="s">
        <v>17</v>
      </c>
      <c r="E821" t="s">
        <v>25</v>
      </c>
      <c r="F821" t="s">
        <v>29</v>
      </c>
      <c r="G821" t="s">
        <v>20</v>
      </c>
      <c r="H821" t="s">
        <v>21</v>
      </c>
      <c r="I821">
        <v>4</v>
      </c>
      <c r="J821">
        <v>1401.06</v>
      </c>
      <c r="K821">
        <v>5604.24</v>
      </c>
      <c r="L821" t="s">
        <v>30</v>
      </c>
      <c r="M821" t="s">
        <v>80</v>
      </c>
      <c r="N821" s="1">
        <v>46090</v>
      </c>
      <c r="O821">
        <v>5604.24</v>
      </c>
    </row>
    <row r="822" spans="1:15" x14ac:dyDescent="0.3">
      <c r="A822" t="s">
        <v>871</v>
      </c>
      <c r="B822" s="1">
        <v>45955</v>
      </c>
      <c r="C822" t="s">
        <v>795</v>
      </c>
      <c r="D822" t="s">
        <v>24</v>
      </c>
      <c r="E822" t="s">
        <v>50</v>
      </c>
      <c r="F822" t="s">
        <v>38</v>
      </c>
      <c r="G822" t="s">
        <v>39</v>
      </c>
      <c r="H822" t="s">
        <v>21</v>
      </c>
      <c r="I822">
        <v>8</v>
      </c>
      <c r="J822">
        <v>934.25</v>
      </c>
      <c r="K822">
        <v>7474</v>
      </c>
      <c r="L822" t="s">
        <v>22</v>
      </c>
      <c r="M822" t="s">
        <v>22</v>
      </c>
      <c r="N822" s="1">
        <v>46203</v>
      </c>
      <c r="O822">
        <v>7474</v>
      </c>
    </row>
    <row r="823" spans="1:15" x14ac:dyDescent="0.3">
      <c r="A823" t="s">
        <v>872</v>
      </c>
      <c r="B823" s="1">
        <v>45956</v>
      </c>
      <c r="C823" t="s">
        <v>795</v>
      </c>
      <c r="D823" t="s">
        <v>17</v>
      </c>
      <c r="E823" t="s">
        <v>28</v>
      </c>
      <c r="F823" t="s">
        <v>19</v>
      </c>
      <c r="G823" t="s">
        <v>39</v>
      </c>
      <c r="H823" t="s">
        <v>34</v>
      </c>
      <c r="I823">
        <v>8</v>
      </c>
      <c r="J823">
        <v>1536.81</v>
      </c>
      <c r="K823">
        <v>12294.48</v>
      </c>
      <c r="L823" t="s">
        <v>22</v>
      </c>
      <c r="M823" t="s">
        <v>22</v>
      </c>
      <c r="N823" s="1">
        <v>46203</v>
      </c>
      <c r="O823">
        <v>12294.48</v>
      </c>
    </row>
    <row r="824" spans="1:15" x14ac:dyDescent="0.3">
      <c r="A824" t="s">
        <v>873</v>
      </c>
      <c r="B824" s="1">
        <v>45956</v>
      </c>
      <c r="C824" t="s">
        <v>795</v>
      </c>
      <c r="D824" t="s">
        <v>17</v>
      </c>
      <c r="E824" t="s">
        <v>25</v>
      </c>
      <c r="F824" t="s">
        <v>51</v>
      </c>
      <c r="G824" t="s">
        <v>20</v>
      </c>
      <c r="H824" t="s">
        <v>21</v>
      </c>
      <c r="I824">
        <v>8</v>
      </c>
      <c r="J824">
        <v>1540.99</v>
      </c>
      <c r="K824">
        <v>12327.92</v>
      </c>
      <c r="L824" t="s">
        <v>22</v>
      </c>
      <c r="M824" t="s">
        <v>22</v>
      </c>
      <c r="N824" s="1">
        <v>46203</v>
      </c>
      <c r="O824">
        <v>12327.92</v>
      </c>
    </row>
    <row r="825" spans="1:15" x14ac:dyDescent="0.3">
      <c r="A825" t="s">
        <v>874</v>
      </c>
      <c r="B825" s="1">
        <v>45957</v>
      </c>
      <c r="C825" t="s">
        <v>795</v>
      </c>
      <c r="D825" t="s">
        <v>24</v>
      </c>
      <c r="E825" t="s">
        <v>25</v>
      </c>
      <c r="F825" t="s">
        <v>38</v>
      </c>
      <c r="G825" t="s">
        <v>39</v>
      </c>
      <c r="H825" t="s">
        <v>34</v>
      </c>
      <c r="I825">
        <v>8</v>
      </c>
      <c r="J825">
        <v>898.07</v>
      </c>
      <c r="K825">
        <v>7184.56</v>
      </c>
      <c r="L825" t="s">
        <v>22</v>
      </c>
      <c r="M825" t="s">
        <v>22</v>
      </c>
      <c r="N825" s="1">
        <v>46203</v>
      </c>
      <c r="O825">
        <v>7184.56</v>
      </c>
    </row>
    <row r="826" spans="1:15" x14ac:dyDescent="0.3">
      <c r="A826" t="s">
        <v>875</v>
      </c>
      <c r="B826" s="1">
        <v>45957</v>
      </c>
      <c r="C826" t="s">
        <v>795</v>
      </c>
      <c r="D826" t="s">
        <v>49</v>
      </c>
      <c r="E826" t="s">
        <v>25</v>
      </c>
      <c r="F826" t="s">
        <v>19</v>
      </c>
      <c r="G826" t="s">
        <v>39</v>
      </c>
      <c r="H826" t="s">
        <v>40</v>
      </c>
      <c r="I826">
        <v>7</v>
      </c>
      <c r="J826">
        <v>492.27</v>
      </c>
      <c r="K826">
        <v>3445.89</v>
      </c>
      <c r="L826" t="s">
        <v>30</v>
      </c>
      <c r="M826" t="s">
        <v>36</v>
      </c>
      <c r="N826" s="1">
        <v>46179</v>
      </c>
      <c r="O826">
        <v>3445.89</v>
      </c>
    </row>
    <row r="827" spans="1:15" x14ac:dyDescent="0.3">
      <c r="A827" t="s">
        <v>876</v>
      </c>
      <c r="B827" s="1">
        <v>45957</v>
      </c>
      <c r="C827" t="s">
        <v>795</v>
      </c>
      <c r="D827" t="s">
        <v>24</v>
      </c>
      <c r="E827" t="s">
        <v>50</v>
      </c>
      <c r="F827" t="s">
        <v>19</v>
      </c>
      <c r="G827" t="s">
        <v>39</v>
      </c>
      <c r="H827" t="s">
        <v>21</v>
      </c>
      <c r="I827">
        <v>8</v>
      </c>
      <c r="J827">
        <v>887.24</v>
      </c>
      <c r="K827">
        <v>7097.92</v>
      </c>
      <c r="L827" t="s">
        <v>22</v>
      </c>
      <c r="M827" t="s">
        <v>22</v>
      </c>
      <c r="N827" s="1">
        <v>46203</v>
      </c>
      <c r="O827">
        <v>7097.92</v>
      </c>
    </row>
    <row r="828" spans="1:15" x14ac:dyDescent="0.3">
      <c r="A828" t="s">
        <v>877</v>
      </c>
      <c r="B828" s="1">
        <v>45958</v>
      </c>
      <c r="C828" t="s">
        <v>795</v>
      </c>
      <c r="D828" t="s">
        <v>17</v>
      </c>
      <c r="E828" t="s">
        <v>28</v>
      </c>
      <c r="F828" t="s">
        <v>51</v>
      </c>
      <c r="G828" t="s">
        <v>39</v>
      </c>
      <c r="H828" t="s">
        <v>34</v>
      </c>
      <c r="I828">
        <v>3</v>
      </c>
      <c r="J828">
        <v>1408.51</v>
      </c>
      <c r="K828">
        <v>4225.53</v>
      </c>
      <c r="L828" t="s">
        <v>30</v>
      </c>
      <c r="M828" t="s">
        <v>43</v>
      </c>
      <c r="N828" s="1">
        <v>46055</v>
      </c>
      <c r="O828">
        <v>4225.53</v>
      </c>
    </row>
    <row r="829" spans="1:15" x14ac:dyDescent="0.3">
      <c r="A829" t="s">
        <v>878</v>
      </c>
      <c r="B829" s="1">
        <v>45959</v>
      </c>
      <c r="C829" t="s">
        <v>795</v>
      </c>
      <c r="D829" t="s">
        <v>49</v>
      </c>
      <c r="E829" t="s">
        <v>25</v>
      </c>
      <c r="F829" t="s">
        <v>19</v>
      </c>
      <c r="G829" t="s">
        <v>39</v>
      </c>
      <c r="H829" t="s">
        <v>34</v>
      </c>
      <c r="I829">
        <v>1</v>
      </c>
      <c r="J829">
        <v>548</v>
      </c>
      <c r="K829">
        <v>548</v>
      </c>
      <c r="L829" t="s">
        <v>30</v>
      </c>
      <c r="M829" t="s">
        <v>31</v>
      </c>
      <c r="N829" s="1">
        <v>46001</v>
      </c>
      <c r="O829">
        <v>548</v>
      </c>
    </row>
    <row r="830" spans="1:15" x14ac:dyDescent="0.3">
      <c r="A830" t="s">
        <v>879</v>
      </c>
      <c r="B830" s="1">
        <v>45959</v>
      </c>
      <c r="C830" t="s">
        <v>795</v>
      </c>
      <c r="D830" t="s">
        <v>49</v>
      </c>
      <c r="E830" t="s">
        <v>28</v>
      </c>
      <c r="F830" t="s">
        <v>19</v>
      </c>
      <c r="G830" t="s">
        <v>26</v>
      </c>
      <c r="H830" t="s">
        <v>34</v>
      </c>
      <c r="I830">
        <v>8</v>
      </c>
      <c r="J830">
        <v>491.98</v>
      </c>
      <c r="K830">
        <v>3935.84</v>
      </c>
      <c r="L830" t="s">
        <v>22</v>
      </c>
      <c r="M830" t="s">
        <v>22</v>
      </c>
      <c r="N830" s="1">
        <v>46203</v>
      </c>
      <c r="O830">
        <v>3935.84</v>
      </c>
    </row>
    <row r="831" spans="1:15" x14ac:dyDescent="0.3">
      <c r="A831" t="s">
        <v>880</v>
      </c>
      <c r="B831" s="1">
        <v>45959</v>
      </c>
      <c r="C831" t="s">
        <v>795</v>
      </c>
      <c r="D831" t="s">
        <v>49</v>
      </c>
      <c r="E831" t="s">
        <v>28</v>
      </c>
      <c r="F831" t="s">
        <v>19</v>
      </c>
      <c r="G831" t="s">
        <v>39</v>
      </c>
      <c r="H831" t="s">
        <v>21</v>
      </c>
      <c r="I831">
        <v>8</v>
      </c>
      <c r="J831">
        <v>509.5</v>
      </c>
      <c r="K831">
        <v>4076</v>
      </c>
      <c r="L831" t="s">
        <v>22</v>
      </c>
      <c r="M831" t="s">
        <v>22</v>
      </c>
      <c r="N831" s="1">
        <v>46203</v>
      </c>
      <c r="O831">
        <v>4076</v>
      </c>
    </row>
    <row r="832" spans="1:15" x14ac:dyDescent="0.3">
      <c r="A832" t="s">
        <v>881</v>
      </c>
      <c r="B832" s="1">
        <v>45959</v>
      </c>
      <c r="C832" t="s">
        <v>795</v>
      </c>
      <c r="D832" t="s">
        <v>24</v>
      </c>
      <c r="E832" t="s">
        <v>25</v>
      </c>
      <c r="F832" t="s">
        <v>19</v>
      </c>
      <c r="G832" t="s">
        <v>26</v>
      </c>
      <c r="H832" t="s">
        <v>40</v>
      </c>
      <c r="I832">
        <v>8</v>
      </c>
      <c r="J832">
        <v>967.03</v>
      </c>
      <c r="K832">
        <v>7736.24</v>
      </c>
      <c r="L832" t="s">
        <v>22</v>
      </c>
      <c r="M832" t="s">
        <v>22</v>
      </c>
      <c r="N832" s="1">
        <v>46203</v>
      </c>
      <c r="O832">
        <v>7736.24</v>
      </c>
    </row>
    <row r="833" spans="1:15" x14ac:dyDescent="0.3">
      <c r="A833" t="s">
        <v>882</v>
      </c>
      <c r="B833" s="1">
        <v>45959</v>
      </c>
      <c r="C833" t="s">
        <v>795</v>
      </c>
      <c r="D833" t="s">
        <v>24</v>
      </c>
      <c r="E833" t="s">
        <v>18</v>
      </c>
      <c r="F833" t="s">
        <v>19</v>
      </c>
      <c r="G833" t="s">
        <v>39</v>
      </c>
      <c r="H833" t="s">
        <v>34</v>
      </c>
      <c r="I833">
        <v>8</v>
      </c>
      <c r="J833">
        <v>864.74</v>
      </c>
      <c r="K833">
        <v>6917.92</v>
      </c>
      <c r="L833" t="s">
        <v>22</v>
      </c>
      <c r="M833" t="s">
        <v>22</v>
      </c>
      <c r="N833" s="1">
        <v>46203</v>
      </c>
      <c r="O833">
        <v>6917.92</v>
      </c>
    </row>
    <row r="834" spans="1:15" x14ac:dyDescent="0.3">
      <c r="A834" t="s">
        <v>883</v>
      </c>
      <c r="B834" s="1">
        <v>45960</v>
      </c>
      <c r="C834" t="s">
        <v>795</v>
      </c>
      <c r="D834" t="s">
        <v>17</v>
      </c>
      <c r="E834" t="s">
        <v>25</v>
      </c>
      <c r="F834" t="s">
        <v>29</v>
      </c>
      <c r="G834" t="s">
        <v>39</v>
      </c>
      <c r="H834" t="s">
        <v>21</v>
      </c>
      <c r="I834">
        <v>8</v>
      </c>
      <c r="J834">
        <v>1510.76</v>
      </c>
      <c r="K834">
        <v>12086.08</v>
      </c>
      <c r="L834" t="s">
        <v>22</v>
      </c>
      <c r="M834" t="s">
        <v>22</v>
      </c>
      <c r="N834" s="1">
        <v>46203</v>
      </c>
      <c r="O834">
        <v>12086.08</v>
      </c>
    </row>
    <row r="835" spans="1:15" x14ac:dyDescent="0.3">
      <c r="A835" t="s">
        <v>884</v>
      </c>
      <c r="B835" s="1">
        <v>45960</v>
      </c>
      <c r="C835" t="s">
        <v>795</v>
      </c>
      <c r="D835" t="s">
        <v>49</v>
      </c>
      <c r="E835" t="s">
        <v>18</v>
      </c>
      <c r="F835" t="s">
        <v>29</v>
      </c>
      <c r="G835" t="s">
        <v>39</v>
      </c>
      <c r="H835" t="s">
        <v>45</v>
      </c>
      <c r="I835">
        <v>8</v>
      </c>
      <c r="J835">
        <v>509.65</v>
      </c>
      <c r="K835">
        <v>4077.2</v>
      </c>
      <c r="L835" t="s">
        <v>22</v>
      </c>
      <c r="M835" t="s">
        <v>22</v>
      </c>
      <c r="N835" s="1">
        <v>46203</v>
      </c>
      <c r="O835">
        <v>4077.2</v>
      </c>
    </row>
    <row r="836" spans="1:15" x14ac:dyDescent="0.3">
      <c r="A836" t="s">
        <v>885</v>
      </c>
      <c r="B836" s="1">
        <v>45960</v>
      </c>
      <c r="C836" t="s">
        <v>795</v>
      </c>
      <c r="D836" t="s">
        <v>49</v>
      </c>
      <c r="E836" t="s">
        <v>28</v>
      </c>
      <c r="F836" t="s">
        <v>19</v>
      </c>
      <c r="G836" t="s">
        <v>39</v>
      </c>
      <c r="H836" t="s">
        <v>40</v>
      </c>
      <c r="I836">
        <v>8</v>
      </c>
      <c r="J836">
        <v>533.84</v>
      </c>
      <c r="K836">
        <v>4270.72</v>
      </c>
      <c r="L836" t="s">
        <v>22</v>
      </c>
      <c r="M836" t="s">
        <v>22</v>
      </c>
      <c r="N836" s="1">
        <v>46203</v>
      </c>
      <c r="O836">
        <v>4270.72</v>
      </c>
    </row>
    <row r="837" spans="1:15" x14ac:dyDescent="0.3">
      <c r="A837" t="s">
        <v>886</v>
      </c>
      <c r="B837" s="1">
        <v>45960</v>
      </c>
      <c r="C837" t="s">
        <v>795</v>
      </c>
      <c r="D837" t="s">
        <v>24</v>
      </c>
      <c r="E837" t="s">
        <v>25</v>
      </c>
      <c r="F837" t="s">
        <v>38</v>
      </c>
      <c r="G837" t="s">
        <v>39</v>
      </c>
      <c r="H837" t="s">
        <v>34</v>
      </c>
      <c r="I837">
        <v>8</v>
      </c>
      <c r="J837">
        <v>926.57</v>
      </c>
      <c r="K837">
        <v>7412.56</v>
      </c>
      <c r="L837" t="s">
        <v>22</v>
      </c>
      <c r="M837" t="s">
        <v>22</v>
      </c>
      <c r="N837" s="1">
        <v>46203</v>
      </c>
      <c r="O837">
        <v>7412.56</v>
      </c>
    </row>
    <row r="838" spans="1:15" x14ac:dyDescent="0.3">
      <c r="A838" t="s">
        <v>887</v>
      </c>
      <c r="B838" s="1">
        <v>45961</v>
      </c>
      <c r="C838" t="s">
        <v>795</v>
      </c>
      <c r="D838" t="s">
        <v>49</v>
      </c>
      <c r="E838" t="s">
        <v>50</v>
      </c>
      <c r="F838" t="s">
        <v>38</v>
      </c>
      <c r="G838" t="s">
        <v>39</v>
      </c>
      <c r="H838" t="s">
        <v>21</v>
      </c>
      <c r="I838">
        <v>8</v>
      </c>
      <c r="J838">
        <v>501.86</v>
      </c>
      <c r="K838">
        <v>4014.88</v>
      </c>
      <c r="L838" t="s">
        <v>22</v>
      </c>
      <c r="M838" t="s">
        <v>22</v>
      </c>
      <c r="N838" s="1">
        <v>46203</v>
      </c>
      <c r="O838">
        <v>4014.88</v>
      </c>
    </row>
    <row r="839" spans="1:15" x14ac:dyDescent="0.3">
      <c r="A839" t="s">
        <v>888</v>
      </c>
      <c r="B839" s="1">
        <v>45961</v>
      </c>
      <c r="C839" t="s">
        <v>795</v>
      </c>
      <c r="D839" t="s">
        <v>24</v>
      </c>
      <c r="E839" t="s">
        <v>25</v>
      </c>
      <c r="F839" t="s">
        <v>29</v>
      </c>
      <c r="G839" t="s">
        <v>20</v>
      </c>
      <c r="H839" t="s">
        <v>45</v>
      </c>
      <c r="I839">
        <v>2</v>
      </c>
      <c r="J839">
        <v>938.01</v>
      </c>
      <c r="K839">
        <v>1876.02</v>
      </c>
      <c r="L839" t="s">
        <v>30</v>
      </c>
      <c r="M839" t="s">
        <v>36</v>
      </c>
      <c r="N839" s="1">
        <v>46015</v>
      </c>
      <c r="O839">
        <v>1876.02</v>
      </c>
    </row>
    <row r="840" spans="1:15" x14ac:dyDescent="0.3">
      <c r="A840" t="s">
        <v>889</v>
      </c>
      <c r="B840" s="1">
        <v>45961</v>
      </c>
      <c r="C840" t="s">
        <v>795</v>
      </c>
      <c r="D840" t="s">
        <v>49</v>
      </c>
      <c r="E840" t="s">
        <v>25</v>
      </c>
      <c r="F840" t="s">
        <v>51</v>
      </c>
      <c r="G840" t="s">
        <v>20</v>
      </c>
      <c r="H840" t="s">
        <v>34</v>
      </c>
      <c r="I840">
        <v>8</v>
      </c>
      <c r="J840">
        <v>464.87</v>
      </c>
      <c r="K840">
        <v>3718.96</v>
      </c>
      <c r="L840" t="s">
        <v>22</v>
      </c>
      <c r="M840" t="s">
        <v>22</v>
      </c>
      <c r="N840" s="1">
        <v>46203</v>
      </c>
      <c r="O840">
        <v>3718.96</v>
      </c>
    </row>
    <row r="841" spans="1:15" x14ac:dyDescent="0.3">
      <c r="A841" t="s">
        <v>890</v>
      </c>
      <c r="B841" s="1">
        <v>45961</v>
      </c>
      <c r="C841" t="s">
        <v>795</v>
      </c>
      <c r="D841" t="s">
        <v>49</v>
      </c>
      <c r="E841" t="s">
        <v>25</v>
      </c>
      <c r="F841" t="s">
        <v>29</v>
      </c>
      <c r="G841" t="s">
        <v>39</v>
      </c>
      <c r="H841" t="s">
        <v>45</v>
      </c>
      <c r="I841">
        <v>8</v>
      </c>
      <c r="J841">
        <v>510.35</v>
      </c>
      <c r="K841">
        <v>4082.8</v>
      </c>
      <c r="L841" t="s">
        <v>22</v>
      </c>
      <c r="M841" t="s">
        <v>22</v>
      </c>
      <c r="N841" s="1">
        <v>46203</v>
      </c>
      <c r="O841">
        <v>4082.8</v>
      </c>
    </row>
    <row r="842" spans="1:15" x14ac:dyDescent="0.3">
      <c r="A842" t="s">
        <v>891</v>
      </c>
      <c r="B842" s="1">
        <v>45961</v>
      </c>
      <c r="C842" t="s">
        <v>795</v>
      </c>
      <c r="D842" t="s">
        <v>24</v>
      </c>
      <c r="E842" t="s">
        <v>50</v>
      </c>
      <c r="F842" t="s">
        <v>29</v>
      </c>
      <c r="G842" t="s">
        <v>39</v>
      </c>
      <c r="H842" t="s">
        <v>40</v>
      </c>
      <c r="I842">
        <v>5</v>
      </c>
      <c r="J842">
        <v>904.69</v>
      </c>
      <c r="K842">
        <v>4523.45</v>
      </c>
      <c r="L842" t="s">
        <v>30</v>
      </c>
      <c r="M842" t="s">
        <v>43</v>
      </c>
      <c r="N842" s="1">
        <v>46122</v>
      </c>
      <c r="O842">
        <v>4523.45</v>
      </c>
    </row>
    <row r="843" spans="1:15" x14ac:dyDescent="0.3">
      <c r="A843" t="s">
        <v>892</v>
      </c>
      <c r="B843" s="1">
        <v>45962</v>
      </c>
      <c r="C843" t="s">
        <v>893</v>
      </c>
      <c r="D843" t="s">
        <v>49</v>
      </c>
      <c r="E843" t="s">
        <v>28</v>
      </c>
      <c r="F843" t="s">
        <v>29</v>
      </c>
      <c r="G843" t="s">
        <v>39</v>
      </c>
      <c r="H843" t="s">
        <v>21</v>
      </c>
      <c r="I843">
        <v>8</v>
      </c>
      <c r="J843">
        <v>457.57</v>
      </c>
      <c r="K843">
        <v>3660.56</v>
      </c>
      <c r="L843" t="s">
        <v>22</v>
      </c>
      <c r="M843" t="s">
        <v>22</v>
      </c>
      <c r="N843" s="1">
        <v>46203</v>
      </c>
      <c r="O843">
        <v>3660.56</v>
      </c>
    </row>
    <row r="844" spans="1:15" x14ac:dyDescent="0.3">
      <c r="A844" t="s">
        <v>894</v>
      </c>
      <c r="B844" s="1">
        <v>45962</v>
      </c>
      <c r="C844" t="s">
        <v>893</v>
      </c>
      <c r="D844" t="s">
        <v>17</v>
      </c>
      <c r="E844" t="s">
        <v>25</v>
      </c>
      <c r="F844" t="s">
        <v>33</v>
      </c>
      <c r="G844" t="s">
        <v>39</v>
      </c>
      <c r="H844" t="s">
        <v>40</v>
      </c>
      <c r="I844">
        <v>8</v>
      </c>
      <c r="J844">
        <v>1359.01</v>
      </c>
      <c r="K844">
        <v>10872.08</v>
      </c>
      <c r="L844" t="s">
        <v>22</v>
      </c>
      <c r="M844" t="s">
        <v>22</v>
      </c>
      <c r="N844" s="1">
        <v>46203</v>
      </c>
      <c r="O844">
        <v>10872.08</v>
      </c>
    </row>
    <row r="845" spans="1:15" x14ac:dyDescent="0.3">
      <c r="A845" t="s">
        <v>895</v>
      </c>
      <c r="B845" s="1">
        <v>45963</v>
      </c>
      <c r="C845" t="s">
        <v>893</v>
      </c>
      <c r="D845" t="s">
        <v>24</v>
      </c>
      <c r="E845" t="s">
        <v>25</v>
      </c>
      <c r="F845" t="s">
        <v>33</v>
      </c>
      <c r="G845" t="s">
        <v>39</v>
      </c>
      <c r="H845" t="s">
        <v>21</v>
      </c>
      <c r="I845">
        <v>2</v>
      </c>
      <c r="J845">
        <v>900.05</v>
      </c>
      <c r="K845">
        <v>1800.1</v>
      </c>
      <c r="L845" t="s">
        <v>30</v>
      </c>
      <c r="M845" t="s">
        <v>31</v>
      </c>
      <c r="N845" s="1">
        <v>46036</v>
      </c>
      <c r="O845">
        <v>1800.1</v>
      </c>
    </row>
    <row r="846" spans="1:15" x14ac:dyDescent="0.3">
      <c r="A846" t="s">
        <v>896</v>
      </c>
      <c r="B846" s="1">
        <v>45963</v>
      </c>
      <c r="C846" t="s">
        <v>893</v>
      </c>
      <c r="D846" t="s">
        <v>49</v>
      </c>
      <c r="E846" t="s">
        <v>28</v>
      </c>
      <c r="F846" t="s">
        <v>19</v>
      </c>
      <c r="G846" t="s">
        <v>39</v>
      </c>
      <c r="H846" t="s">
        <v>34</v>
      </c>
      <c r="I846">
        <v>8</v>
      </c>
      <c r="J846">
        <v>469.63</v>
      </c>
      <c r="K846">
        <v>3757.04</v>
      </c>
      <c r="L846" t="s">
        <v>22</v>
      </c>
      <c r="M846" t="s">
        <v>22</v>
      </c>
      <c r="N846" s="1">
        <v>46203</v>
      </c>
      <c r="O846">
        <v>3757.04</v>
      </c>
    </row>
    <row r="847" spans="1:15" x14ac:dyDescent="0.3">
      <c r="A847" t="s">
        <v>897</v>
      </c>
      <c r="B847" s="1">
        <v>45963</v>
      </c>
      <c r="C847" t="s">
        <v>893</v>
      </c>
      <c r="D847" t="s">
        <v>24</v>
      </c>
      <c r="E847" t="s">
        <v>18</v>
      </c>
      <c r="F847" t="s">
        <v>19</v>
      </c>
      <c r="G847" t="s">
        <v>39</v>
      </c>
      <c r="H847" t="s">
        <v>45</v>
      </c>
      <c r="I847">
        <v>6</v>
      </c>
      <c r="J847">
        <v>871.78</v>
      </c>
      <c r="K847">
        <v>5230.68</v>
      </c>
      <c r="L847" t="s">
        <v>30</v>
      </c>
      <c r="M847" t="s">
        <v>36</v>
      </c>
      <c r="N847" s="1">
        <v>46133</v>
      </c>
      <c r="O847">
        <v>5230.68</v>
      </c>
    </row>
    <row r="848" spans="1:15" x14ac:dyDescent="0.3">
      <c r="A848" t="s">
        <v>898</v>
      </c>
      <c r="B848" s="1">
        <v>45964</v>
      </c>
      <c r="C848" t="s">
        <v>893</v>
      </c>
      <c r="D848" t="s">
        <v>49</v>
      </c>
      <c r="E848" t="s">
        <v>25</v>
      </c>
      <c r="F848" t="s">
        <v>19</v>
      </c>
      <c r="G848" t="s">
        <v>39</v>
      </c>
      <c r="H848" t="s">
        <v>34</v>
      </c>
      <c r="I848">
        <v>8</v>
      </c>
      <c r="J848">
        <v>463.63</v>
      </c>
      <c r="K848">
        <v>3709.04</v>
      </c>
      <c r="L848" t="s">
        <v>30</v>
      </c>
      <c r="M848" t="s">
        <v>80</v>
      </c>
      <c r="N848" s="1">
        <v>46196</v>
      </c>
      <c r="O848">
        <v>3709.04</v>
      </c>
    </row>
    <row r="849" spans="1:15" x14ac:dyDescent="0.3">
      <c r="A849" t="s">
        <v>899</v>
      </c>
      <c r="B849" s="1">
        <v>45964</v>
      </c>
      <c r="C849" t="s">
        <v>893</v>
      </c>
      <c r="D849" t="s">
        <v>49</v>
      </c>
      <c r="E849" t="s">
        <v>25</v>
      </c>
      <c r="F849" t="s">
        <v>33</v>
      </c>
      <c r="G849" t="s">
        <v>39</v>
      </c>
      <c r="H849" t="s">
        <v>21</v>
      </c>
      <c r="I849">
        <v>3</v>
      </c>
      <c r="J849">
        <v>520.47</v>
      </c>
      <c r="K849">
        <v>1561.41</v>
      </c>
      <c r="L849" t="s">
        <v>30</v>
      </c>
      <c r="M849" t="s">
        <v>43</v>
      </c>
      <c r="N849" s="1">
        <v>46049</v>
      </c>
      <c r="O849">
        <v>1561.41</v>
      </c>
    </row>
    <row r="850" spans="1:15" x14ac:dyDescent="0.3">
      <c r="A850" t="s">
        <v>900</v>
      </c>
      <c r="B850" s="1">
        <v>45964</v>
      </c>
      <c r="C850" t="s">
        <v>893</v>
      </c>
      <c r="D850" t="s">
        <v>24</v>
      </c>
      <c r="E850" t="s">
        <v>25</v>
      </c>
      <c r="F850" t="s">
        <v>38</v>
      </c>
      <c r="G850" t="s">
        <v>26</v>
      </c>
      <c r="H850" t="s">
        <v>21</v>
      </c>
      <c r="I850">
        <v>4</v>
      </c>
      <c r="J850">
        <v>810.92</v>
      </c>
      <c r="K850">
        <v>3243.68</v>
      </c>
      <c r="L850" t="s">
        <v>30</v>
      </c>
      <c r="M850" t="s">
        <v>31</v>
      </c>
      <c r="N850" s="1">
        <v>46092</v>
      </c>
      <c r="O850">
        <v>3243.68</v>
      </c>
    </row>
    <row r="851" spans="1:15" x14ac:dyDescent="0.3">
      <c r="A851" t="s">
        <v>901</v>
      </c>
      <c r="B851" s="1">
        <v>45964</v>
      </c>
      <c r="C851" t="s">
        <v>893</v>
      </c>
      <c r="D851" t="s">
        <v>24</v>
      </c>
      <c r="E851" t="s">
        <v>18</v>
      </c>
      <c r="F851" t="s">
        <v>29</v>
      </c>
      <c r="G851" t="s">
        <v>39</v>
      </c>
      <c r="H851" t="s">
        <v>21</v>
      </c>
      <c r="I851">
        <v>8</v>
      </c>
      <c r="J851">
        <v>929.22</v>
      </c>
      <c r="K851">
        <v>7433.76</v>
      </c>
      <c r="L851" t="s">
        <v>22</v>
      </c>
      <c r="M851" t="s">
        <v>22</v>
      </c>
      <c r="N851" s="1">
        <v>46203</v>
      </c>
      <c r="O851">
        <v>7433.76</v>
      </c>
    </row>
    <row r="852" spans="1:15" x14ac:dyDescent="0.3">
      <c r="A852" t="s">
        <v>902</v>
      </c>
      <c r="B852" s="1">
        <v>45965</v>
      </c>
      <c r="C852" t="s">
        <v>893</v>
      </c>
      <c r="D852" t="s">
        <v>24</v>
      </c>
      <c r="E852" t="s">
        <v>28</v>
      </c>
      <c r="F852" t="s">
        <v>51</v>
      </c>
      <c r="G852" t="s">
        <v>39</v>
      </c>
      <c r="H852" t="s">
        <v>21</v>
      </c>
      <c r="I852">
        <v>8</v>
      </c>
      <c r="J852">
        <v>940.22</v>
      </c>
      <c r="K852">
        <v>7521.76</v>
      </c>
      <c r="L852" t="s">
        <v>22</v>
      </c>
      <c r="M852" t="s">
        <v>22</v>
      </c>
      <c r="N852" s="1">
        <v>46203</v>
      </c>
      <c r="O852">
        <v>7521.76</v>
      </c>
    </row>
    <row r="853" spans="1:15" x14ac:dyDescent="0.3">
      <c r="A853" t="s">
        <v>903</v>
      </c>
      <c r="B853" s="1">
        <v>45965</v>
      </c>
      <c r="C853" t="s">
        <v>893</v>
      </c>
      <c r="D853" t="s">
        <v>49</v>
      </c>
      <c r="E853" t="s">
        <v>50</v>
      </c>
      <c r="F853" t="s">
        <v>19</v>
      </c>
      <c r="G853" t="s">
        <v>20</v>
      </c>
      <c r="H853" t="s">
        <v>34</v>
      </c>
      <c r="I853">
        <v>8</v>
      </c>
      <c r="J853">
        <v>507.44</v>
      </c>
      <c r="K853">
        <v>4059.52</v>
      </c>
      <c r="L853" t="s">
        <v>22</v>
      </c>
      <c r="M853" t="s">
        <v>22</v>
      </c>
      <c r="N853" s="1">
        <v>46203</v>
      </c>
      <c r="O853">
        <v>4059.52</v>
      </c>
    </row>
    <row r="854" spans="1:15" x14ac:dyDescent="0.3">
      <c r="A854" t="s">
        <v>904</v>
      </c>
      <c r="B854" s="1">
        <v>45966</v>
      </c>
      <c r="C854" t="s">
        <v>893</v>
      </c>
      <c r="D854" t="s">
        <v>24</v>
      </c>
      <c r="E854" t="s">
        <v>18</v>
      </c>
      <c r="F854" t="s">
        <v>29</v>
      </c>
      <c r="G854" t="s">
        <v>20</v>
      </c>
      <c r="H854" t="s">
        <v>45</v>
      </c>
      <c r="I854">
        <v>7</v>
      </c>
      <c r="J854">
        <v>965.38</v>
      </c>
      <c r="K854">
        <v>6757.66</v>
      </c>
      <c r="L854" t="s">
        <v>30</v>
      </c>
      <c r="M854" t="s">
        <v>43</v>
      </c>
      <c r="N854" s="1">
        <v>46175</v>
      </c>
      <c r="O854">
        <v>6757.66</v>
      </c>
    </row>
    <row r="855" spans="1:15" x14ac:dyDescent="0.3">
      <c r="A855" t="s">
        <v>905</v>
      </c>
      <c r="B855" s="1">
        <v>45966</v>
      </c>
      <c r="C855" t="s">
        <v>893</v>
      </c>
      <c r="D855" t="s">
        <v>17</v>
      </c>
      <c r="E855" t="s">
        <v>28</v>
      </c>
      <c r="F855" t="s">
        <v>38</v>
      </c>
      <c r="G855" t="s">
        <v>39</v>
      </c>
      <c r="H855" t="s">
        <v>21</v>
      </c>
      <c r="I855">
        <v>8</v>
      </c>
      <c r="J855">
        <v>1518.5</v>
      </c>
      <c r="K855">
        <v>12148</v>
      </c>
      <c r="L855" t="s">
        <v>22</v>
      </c>
      <c r="M855" t="s">
        <v>22</v>
      </c>
      <c r="N855" s="1">
        <v>46203</v>
      </c>
      <c r="O855">
        <v>12148</v>
      </c>
    </row>
    <row r="856" spans="1:15" x14ac:dyDescent="0.3">
      <c r="A856" t="s">
        <v>906</v>
      </c>
      <c r="B856" s="1">
        <v>45966</v>
      </c>
      <c r="C856" t="s">
        <v>893</v>
      </c>
      <c r="D856" t="s">
        <v>49</v>
      </c>
      <c r="E856" t="s">
        <v>50</v>
      </c>
      <c r="F856" t="s">
        <v>19</v>
      </c>
      <c r="G856" t="s">
        <v>39</v>
      </c>
      <c r="H856" t="s">
        <v>21</v>
      </c>
      <c r="I856">
        <v>8</v>
      </c>
      <c r="J856">
        <v>452.63</v>
      </c>
      <c r="K856">
        <v>3621.04</v>
      </c>
      <c r="L856" t="s">
        <v>22</v>
      </c>
      <c r="M856" t="s">
        <v>22</v>
      </c>
      <c r="N856" s="1">
        <v>46203</v>
      </c>
      <c r="O856">
        <v>3621.04</v>
      </c>
    </row>
    <row r="857" spans="1:15" x14ac:dyDescent="0.3">
      <c r="A857" t="s">
        <v>907</v>
      </c>
      <c r="B857" s="1">
        <v>45966</v>
      </c>
      <c r="C857" t="s">
        <v>893</v>
      </c>
      <c r="D857" t="s">
        <v>24</v>
      </c>
      <c r="E857" t="s">
        <v>28</v>
      </c>
      <c r="F857" t="s">
        <v>29</v>
      </c>
      <c r="G857" t="s">
        <v>39</v>
      </c>
      <c r="H857" t="s">
        <v>40</v>
      </c>
      <c r="I857">
        <v>7</v>
      </c>
      <c r="J857">
        <v>917.27</v>
      </c>
      <c r="K857">
        <v>6420.89</v>
      </c>
      <c r="L857" t="s">
        <v>30</v>
      </c>
      <c r="M857" t="s">
        <v>80</v>
      </c>
      <c r="N857" s="1">
        <v>46191</v>
      </c>
      <c r="O857">
        <v>6420.89</v>
      </c>
    </row>
    <row r="858" spans="1:15" x14ac:dyDescent="0.3">
      <c r="A858" t="s">
        <v>908</v>
      </c>
      <c r="B858" s="1">
        <v>45967</v>
      </c>
      <c r="C858" t="s">
        <v>893</v>
      </c>
      <c r="D858" t="s">
        <v>17</v>
      </c>
      <c r="E858" t="s">
        <v>25</v>
      </c>
      <c r="F858" t="s">
        <v>29</v>
      </c>
      <c r="G858" t="s">
        <v>39</v>
      </c>
      <c r="H858" t="s">
        <v>21</v>
      </c>
      <c r="I858">
        <v>8</v>
      </c>
      <c r="J858">
        <v>1568.91</v>
      </c>
      <c r="K858">
        <v>12551.28</v>
      </c>
      <c r="L858" t="s">
        <v>22</v>
      </c>
      <c r="M858" t="s">
        <v>22</v>
      </c>
      <c r="N858" s="1">
        <v>46203</v>
      </c>
      <c r="O858">
        <v>12551.28</v>
      </c>
    </row>
    <row r="859" spans="1:15" x14ac:dyDescent="0.3">
      <c r="A859" t="s">
        <v>909</v>
      </c>
      <c r="B859" s="1">
        <v>45967</v>
      </c>
      <c r="C859" t="s">
        <v>893</v>
      </c>
      <c r="D859" t="s">
        <v>24</v>
      </c>
      <c r="E859" t="s">
        <v>28</v>
      </c>
      <c r="F859" t="s">
        <v>19</v>
      </c>
      <c r="G859" t="s">
        <v>39</v>
      </c>
      <c r="H859" t="s">
        <v>40</v>
      </c>
      <c r="I859">
        <v>8</v>
      </c>
      <c r="J859">
        <v>944.97</v>
      </c>
      <c r="K859">
        <v>7559.76</v>
      </c>
      <c r="L859" t="s">
        <v>22</v>
      </c>
      <c r="M859" t="s">
        <v>22</v>
      </c>
      <c r="N859" s="1">
        <v>46203</v>
      </c>
      <c r="O859">
        <v>7559.76</v>
      </c>
    </row>
    <row r="860" spans="1:15" x14ac:dyDescent="0.3">
      <c r="A860" t="s">
        <v>910</v>
      </c>
      <c r="B860" s="1">
        <v>45968</v>
      </c>
      <c r="C860" t="s">
        <v>893</v>
      </c>
      <c r="D860" t="s">
        <v>24</v>
      </c>
      <c r="E860" t="s">
        <v>28</v>
      </c>
      <c r="F860" t="s">
        <v>33</v>
      </c>
      <c r="G860" t="s">
        <v>20</v>
      </c>
      <c r="H860" t="s">
        <v>34</v>
      </c>
      <c r="I860">
        <v>8</v>
      </c>
      <c r="J860">
        <v>819.77</v>
      </c>
      <c r="K860">
        <v>6558.16</v>
      </c>
      <c r="L860" t="s">
        <v>22</v>
      </c>
      <c r="M860" t="s">
        <v>22</v>
      </c>
      <c r="N860" s="1">
        <v>46203</v>
      </c>
      <c r="O860">
        <v>6558.16</v>
      </c>
    </row>
    <row r="861" spans="1:15" x14ac:dyDescent="0.3">
      <c r="A861" t="s">
        <v>911</v>
      </c>
      <c r="B861" s="1">
        <v>45968</v>
      </c>
      <c r="C861" t="s">
        <v>893</v>
      </c>
      <c r="D861" t="s">
        <v>49</v>
      </c>
      <c r="E861" t="s">
        <v>25</v>
      </c>
      <c r="F861" t="s">
        <v>38</v>
      </c>
      <c r="G861" t="s">
        <v>39</v>
      </c>
      <c r="H861" t="s">
        <v>34</v>
      </c>
      <c r="I861">
        <v>8</v>
      </c>
      <c r="J861">
        <v>536.12</v>
      </c>
      <c r="K861">
        <v>4288.96</v>
      </c>
      <c r="L861" t="s">
        <v>22</v>
      </c>
      <c r="M861" t="s">
        <v>22</v>
      </c>
      <c r="N861" s="1">
        <v>46203</v>
      </c>
      <c r="O861">
        <v>4288.96</v>
      </c>
    </row>
    <row r="862" spans="1:15" x14ac:dyDescent="0.3">
      <c r="A862" t="s">
        <v>912</v>
      </c>
      <c r="B862" s="1">
        <v>45968</v>
      </c>
      <c r="C862" t="s">
        <v>893</v>
      </c>
      <c r="D862" t="s">
        <v>49</v>
      </c>
      <c r="E862" t="s">
        <v>28</v>
      </c>
      <c r="F862" t="s">
        <v>19</v>
      </c>
      <c r="G862" t="s">
        <v>20</v>
      </c>
      <c r="H862" t="s">
        <v>21</v>
      </c>
      <c r="I862">
        <v>8</v>
      </c>
      <c r="J862">
        <v>500.93</v>
      </c>
      <c r="K862">
        <v>4007.44</v>
      </c>
      <c r="L862" t="s">
        <v>22</v>
      </c>
      <c r="M862" t="s">
        <v>22</v>
      </c>
      <c r="N862" s="1">
        <v>46203</v>
      </c>
      <c r="O862">
        <v>4007.44</v>
      </c>
    </row>
    <row r="863" spans="1:15" x14ac:dyDescent="0.3">
      <c r="A863" t="s">
        <v>913</v>
      </c>
      <c r="B863" s="1">
        <v>45968</v>
      </c>
      <c r="C863" t="s">
        <v>893</v>
      </c>
      <c r="D863" t="s">
        <v>49</v>
      </c>
      <c r="E863" t="s">
        <v>18</v>
      </c>
      <c r="F863" t="s">
        <v>29</v>
      </c>
      <c r="G863" t="s">
        <v>20</v>
      </c>
      <c r="H863" t="s">
        <v>45</v>
      </c>
      <c r="I863">
        <v>8</v>
      </c>
      <c r="J863">
        <v>498.99</v>
      </c>
      <c r="K863">
        <v>3991.92</v>
      </c>
      <c r="L863" t="s">
        <v>22</v>
      </c>
      <c r="M863" t="s">
        <v>22</v>
      </c>
      <c r="N863" s="1">
        <v>46203</v>
      </c>
      <c r="O863">
        <v>3991.92</v>
      </c>
    </row>
    <row r="864" spans="1:15" x14ac:dyDescent="0.3">
      <c r="A864" t="s">
        <v>914</v>
      </c>
      <c r="B864" s="1">
        <v>45968</v>
      </c>
      <c r="C864" t="s">
        <v>893</v>
      </c>
      <c r="D864" t="s">
        <v>24</v>
      </c>
      <c r="E864" t="s">
        <v>25</v>
      </c>
      <c r="F864" t="s">
        <v>29</v>
      </c>
      <c r="G864" t="s">
        <v>20</v>
      </c>
      <c r="H864" t="s">
        <v>21</v>
      </c>
      <c r="I864">
        <v>8</v>
      </c>
      <c r="J864">
        <v>968.55</v>
      </c>
      <c r="K864">
        <v>7748.4</v>
      </c>
      <c r="L864" t="s">
        <v>22</v>
      </c>
      <c r="M864" t="s">
        <v>22</v>
      </c>
      <c r="N864" s="1">
        <v>46203</v>
      </c>
      <c r="O864">
        <v>7748.4</v>
      </c>
    </row>
    <row r="865" spans="1:15" x14ac:dyDescent="0.3">
      <c r="A865" t="s">
        <v>915</v>
      </c>
      <c r="B865" s="1">
        <v>45969</v>
      </c>
      <c r="C865" t="s">
        <v>893</v>
      </c>
      <c r="D865" t="s">
        <v>17</v>
      </c>
      <c r="E865" t="s">
        <v>28</v>
      </c>
      <c r="F865" t="s">
        <v>29</v>
      </c>
      <c r="G865" t="s">
        <v>20</v>
      </c>
      <c r="H865" t="s">
        <v>21</v>
      </c>
      <c r="I865">
        <v>8</v>
      </c>
      <c r="J865">
        <v>1572.83</v>
      </c>
      <c r="K865">
        <v>12582.64</v>
      </c>
      <c r="L865" t="s">
        <v>22</v>
      </c>
      <c r="M865" t="s">
        <v>22</v>
      </c>
      <c r="N865" s="1">
        <v>46203</v>
      </c>
      <c r="O865">
        <v>12582.64</v>
      </c>
    </row>
    <row r="866" spans="1:15" x14ac:dyDescent="0.3">
      <c r="A866" t="s">
        <v>916</v>
      </c>
      <c r="B866" s="1">
        <v>45969</v>
      </c>
      <c r="C866" t="s">
        <v>893</v>
      </c>
      <c r="D866" t="s">
        <v>17</v>
      </c>
      <c r="E866" t="s">
        <v>28</v>
      </c>
      <c r="F866" t="s">
        <v>38</v>
      </c>
      <c r="G866" t="s">
        <v>20</v>
      </c>
      <c r="H866" t="s">
        <v>45</v>
      </c>
      <c r="I866">
        <v>7</v>
      </c>
      <c r="J866">
        <v>1417.32</v>
      </c>
      <c r="K866">
        <v>9921.24</v>
      </c>
      <c r="L866" t="s">
        <v>30</v>
      </c>
      <c r="M866" t="s">
        <v>31</v>
      </c>
      <c r="N866" s="1">
        <v>46186</v>
      </c>
      <c r="O866">
        <v>9921.24</v>
      </c>
    </row>
    <row r="867" spans="1:15" x14ac:dyDescent="0.3">
      <c r="A867" t="s">
        <v>917</v>
      </c>
      <c r="B867" s="1">
        <v>45969</v>
      </c>
      <c r="C867" t="s">
        <v>893</v>
      </c>
      <c r="D867" t="s">
        <v>17</v>
      </c>
      <c r="E867" t="s">
        <v>18</v>
      </c>
      <c r="F867" t="s">
        <v>51</v>
      </c>
      <c r="G867" t="s">
        <v>39</v>
      </c>
      <c r="H867" t="s">
        <v>21</v>
      </c>
      <c r="I867">
        <v>8</v>
      </c>
      <c r="J867">
        <v>1377.84</v>
      </c>
      <c r="K867">
        <v>11022.72</v>
      </c>
      <c r="L867" t="s">
        <v>22</v>
      </c>
      <c r="M867" t="s">
        <v>22</v>
      </c>
      <c r="N867" s="1">
        <v>46203</v>
      </c>
      <c r="O867">
        <v>11022.72</v>
      </c>
    </row>
    <row r="868" spans="1:15" x14ac:dyDescent="0.3">
      <c r="A868" t="s">
        <v>918</v>
      </c>
      <c r="B868" s="1">
        <v>45970</v>
      </c>
      <c r="C868" t="s">
        <v>893</v>
      </c>
      <c r="D868" t="s">
        <v>24</v>
      </c>
      <c r="E868" t="s">
        <v>25</v>
      </c>
      <c r="F868" t="s">
        <v>51</v>
      </c>
      <c r="G868" t="s">
        <v>39</v>
      </c>
      <c r="H868" t="s">
        <v>34</v>
      </c>
      <c r="I868">
        <v>8</v>
      </c>
      <c r="J868">
        <v>967.93</v>
      </c>
      <c r="K868">
        <v>7743.44</v>
      </c>
      <c r="L868" t="s">
        <v>22</v>
      </c>
      <c r="M868" t="s">
        <v>22</v>
      </c>
      <c r="N868" s="1">
        <v>46203</v>
      </c>
      <c r="O868">
        <v>7743.44</v>
      </c>
    </row>
    <row r="869" spans="1:15" x14ac:dyDescent="0.3">
      <c r="A869" t="s">
        <v>919</v>
      </c>
      <c r="B869" s="1">
        <v>45970</v>
      </c>
      <c r="C869" t="s">
        <v>893</v>
      </c>
      <c r="D869" t="s">
        <v>17</v>
      </c>
      <c r="E869" t="s">
        <v>28</v>
      </c>
      <c r="F869" t="s">
        <v>19</v>
      </c>
      <c r="G869" t="s">
        <v>20</v>
      </c>
      <c r="H869" t="s">
        <v>21</v>
      </c>
      <c r="I869">
        <v>5</v>
      </c>
      <c r="J869">
        <v>1352.22</v>
      </c>
      <c r="K869">
        <v>6761.1</v>
      </c>
      <c r="L869" t="s">
        <v>30</v>
      </c>
      <c r="M869" t="s">
        <v>31</v>
      </c>
      <c r="N869" s="1">
        <v>46137</v>
      </c>
      <c r="O869">
        <v>6761.1</v>
      </c>
    </row>
    <row r="870" spans="1:15" x14ac:dyDescent="0.3">
      <c r="A870" t="s">
        <v>920</v>
      </c>
      <c r="B870" s="1">
        <v>45970</v>
      </c>
      <c r="C870" t="s">
        <v>893</v>
      </c>
      <c r="D870" t="s">
        <v>49</v>
      </c>
      <c r="E870" t="s">
        <v>25</v>
      </c>
      <c r="F870" t="s">
        <v>29</v>
      </c>
      <c r="G870" t="s">
        <v>26</v>
      </c>
      <c r="H870" t="s">
        <v>45</v>
      </c>
      <c r="I870">
        <v>8</v>
      </c>
      <c r="J870">
        <v>537.55999999999995</v>
      </c>
      <c r="K870">
        <v>4300.4799999999996</v>
      </c>
      <c r="L870" t="s">
        <v>22</v>
      </c>
      <c r="M870" t="s">
        <v>22</v>
      </c>
      <c r="N870" s="1">
        <v>46203</v>
      </c>
      <c r="O870">
        <v>4300.4799999999996</v>
      </c>
    </row>
    <row r="871" spans="1:15" x14ac:dyDescent="0.3">
      <c r="A871" t="s">
        <v>921</v>
      </c>
      <c r="B871" s="1">
        <v>45971</v>
      </c>
      <c r="C871" t="s">
        <v>893</v>
      </c>
      <c r="D871" t="s">
        <v>24</v>
      </c>
      <c r="E871" t="s">
        <v>28</v>
      </c>
      <c r="F871" t="s">
        <v>33</v>
      </c>
      <c r="G871" t="s">
        <v>39</v>
      </c>
      <c r="H871" t="s">
        <v>21</v>
      </c>
      <c r="I871">
        <v>2</v>
      </c>
      <c r="J871">
        <v>874.28</v>
      </c>
      <c r="K871">
        <v>1748.56</v>
      </c>
      <c r="L871" t="s">
        <v>30</v>
      </c>
      <c r="M871" t="s">
        <v>43</v>
      </c>
      <c r="N871" s="1">
        <v>46017</v>
      </c>
      <c r="O871">
        <v>1748.56</v>
      </c>
    </row>
    <row r="872" spans="1:15" x14ac:dyDescent="0.3">
      <c r="A872" t="s">
        <v>922</v>
      </c>
      <c r="B872" s="1">
        <v>45971</v>
      </c>
      <c r="C872" t="s">
        <v>893</v>
      </c>
      <c r="D872" t="s">
        <v>24</v>
      </c>
      <c r="E872" t="s">
        <v>18</v>
      </c>
      <c r="F872" t="s">
        <v>38</v>
      </c>
      <c r="G872" t="s">
        <v>39</v>
      </c>
      <c r="H872" t="s">
        <v>34</v>
      </c>
      <c r="I872">
        <v>7</v>
      </c>
      <c r="J872">
        <v>862.66</v>
      </c>
      <c r="K872">
        <v>6038.62</v>
      </c>
      <c r="L872" t="s">
        <v>30</v>
      </c>
      <c r="M872" t="s">
        <v>31</v>
      </c>
      <c r="N872" s="1">
        <v>46186</v>
      </c>
      <c r="O872">
        <v>6038.62</v>
      </c>
    </row>
    <row r="873" spans="1:15" x14ac:dyDescent="0.3">
      <c r="A873" t="s">
        <v>923</v>
      </c>
      <c r="B873" s="1">
        <v>45971</v>
      </c>
      <c r="C873" t="s">
        <v>893</v>
      </c>
      <c r="D873" t="s">
        <v>49</v>
      </c>
      <c r="E873" t="s">
        <v>25</v>
      </c>
      <c r="F873" t="s">
        <v>51</v>
      </c>
      <c r="G873" t="s">
        <v>39</v>
      </c>
      <c r="H873" t="s">
        <v>34</v>
      </c>
      <c r="I873">
        <v>3</v>
      </c>
      <c r="J873">
        <v>509.01</v>
      </c>
      <c r="K873">
        <v>1527.03</v>
      </c>
      <c r="L873" t="s">
        <v>30</v>
      </c>
      <c r="M873" t="s">
        <v>36</v>
      </c>
      <c r="N873" s="1">
        <v>46055</v>
      </c>
      <c r="O873">
        <v>1527.03</v>
      </c>
    </row>
    <row r="874" spans="1:15" x14ac:dyDescent="0.3">
      <c r="A874" t="s">
        <v>924</v>
      </c>
      <c r="B874" s="1">
        <v>45972</v>
      </c>
      <c r="C874" t="s">
        <v>893</v>
      </c>
      <c r="D874" t="s">
        <v>24</v>
      </c>
      <c r="E874" t="s">
        <v>28</v>
      </c>
      <c r="F874" t="s">
        <v>29</v>
      </c>
      <c r="G874" t="s">
        <v>39</v>
      </c>
      <c r="H874" t="s">
        <v>34</v>
      </c>
      <c r="I874">
        <v>4</v>
      </c>
      <c r="J874">
        <v>891.84</v>
      </c>
      <c r="K874">
        <v>3567.36</v>
      </c>
      <c r="L874" t="s">
        <v>30</v>
      </c>
      <c r="M874" t="s">
        <v>31</v>
      </c>
      <c r="N874" s="1">
        <v>46082</v>
      </c>
      <c r="O874">
        <v>3567.36</v>
      </c>
    </row>
    <row r="875" spans="1:15" x14ac:dyDescent="0.3">
      <c r="A875" t="s">
        <v>925</v>
      </c>
      <c r="B875" s="1">
        <v>45973</v>
      </c>
      <c r="C875" t="s">
        <v>893</v>
      </c>
      <c r="D875" t="s">
        <v>49</v>
      </c>
      <c r="E875" t="s">
        <v>28</v>
      </c>
      <c r="F875" t="s">
        <v>19</v>
      </c>
      <c r="G875" t="s">
        <v>20</v>
      </c>
      <c r="H875" t="s">
        <v>40</v>
      </c>
      <c r="I875">
        <v>8</v>
      </c>
      <c r="J875">
        <v>489.32</v>
      </c>
      <c r="K875">
        <v>3914.56</v>
      </c>
      <c r="L875" t="s">
        <v>22</v>
      </c>
      <c r="M875" t="s">
        <v>22</v>
      </c>
      <c r="N875" s="1">
        <v>46203</v>
      </c>
      <c r="O875">
        <v>3914.56</v>
      </c>
    </row>
    <row r="876" spans="1:15" x14ac:dyDescent="0.3">
      <c r="A876" t="s">
        <v>926</v>
      </c>
      <c r="B876" s="1">
        <v>45973</v>
      </c>
      <c r="C876" t="s">
        <v>893</v>
      </c>
      <c r="D876" t="s">
        <v>49</v>
      </c>
      <c r="E876" t="s">
        <v>25</v>
      </c>
      <c r="F876" t="s">
        <v>19</v>
      </c>
      <c r="G876" t="s">
        <v>39</v>
      </c>
      <c r="H876" t="s">
        <v>21</v>
      </c>
      <c r="I876">
        <v>4</v>
      </c>
      <c r="J876">
        <v>530.88</v>
      </c>
      <c r="K876">
        <v>2123.52</v>
      </c>
      <c r="L876" t="s">
        <v>30</v>
      </c>
      <c r="M876" t="s">
        <v>43</v>
      </c>
      <c r="N876" s="1">
        <v>46081</v>
      </c>
      <c r="O876">
        <v>2123.52</v>
      </c>
    </row>
    <row r="877" spans="1:15" x14ac:dyDescent="0.3">
      <c r="A877" t="s">
        <v>927</v>
      </c>
      <c r="B877" s="1">
        <v>45974</v>
      </c>
      <c r="C877" t="s">
        <v>893</v>
      </c>
      <c r="D877" t="s">
        <v>24</v>
      </c>
      <c r="E877" t="s">
        <v>18</v>
      </c>
      <c r="F877" t="s">
        <v>38</v>
      </c>
      <c r="G877" t="s">
        <v>39</v>
      </c>
      <c r="H877" t="s">
        <v>34</v>
      </c>
      <c r="I877">
        <v>8</v>
      </c>
      <c r="J877">
        <v>932.77</v>
      </c>
      <c r="K877">
        <v>7462.16</v>
      </c>
      <c r="L877" t="s">
        <v>22</v>
      </c>
      <c r="M877" t="s">
        <v>22</v>
      </c>
      <c r="N877" s="1">
        <v>46203</v>
      </c>
      <c r="O877">
        <v>7462.16</v>
      </c>
    </row>
    <row r="878" spans="1:15" x14ac:dyDescent="0.3">
      <c r="A878" t="s">
        <v>928</v>
      </c>
      <c r="B878" s="1">
        <v>45974</v>
      </c>
      <c r="C878" t="s">
        <v>893</v>
      </c>
      <c r="D878" t="s">
        <v>49</v>
      </c>
      <c r="E878" t="s">
        <v>18</v>
      </c>
      <c r="F878" t="s">
        <v>38</v>
      </c>
      <c r="G878" t="s">
        <v>39</v>
      </c>
      <c r="H878" t="s">
        <v>21</v>
      </c>
      <c r="I878">
        <v>8</v>
      </c>
      <c r="J878">
        <v>464.71</v>
      </c>
      <c r="K878">
        <v>3717.68</v>
      </c>
      <c r="L878" t="s">
        <v>22</v>
      </c>
      <c r="M878" t="s">
        <v>22</v>
      </c>
      <c r="N878" s="1">
        <v>46203</v>
      </c>
      <c r="O878">
        <v>3717.68</v>
      </c>
    </row>
    <row r="879" spans="1:15" x14ac:dyDescent="0.3">
      <c r="A879" t="s">
        <v>929</v>
      </c>
      <c r="B879" s="1">
        <v>45976</v>
      </c>
      <c r="C879" t="s">
        <v>893</v>
      </c>
      <c r="D879" t="s">
        <v>24</v>
      </c>
      <c r="E879" t="s">
        <v>25</v>
      </c>
      <c r="F879" t="s">
        <v>38</v>
      </c>
      <c r="G879" t="s">
        <v>39</v>
      </c>
      <c r="H879" t="s">
        <v>21</v>
      </c>
      <c r="I879">
        <v>5</v>
      </c>
      <c r="J879">
        <v>870.45</v>
      </c>
      <c r="K879">
        <v>4352.25</v>
      </c>
      <c r="L879" t="s">
        <v>30</v>
      </c>
      <c r="M879" t="s">
        <v>36</v>
      </c>
      <c r="N879" s="1">
        <v>46129</v>
      </c>
      <c r="O879">
        <v>4352.25</v>
      </c>
    </row>
    <row r="880" spans="1:15" x14ac:dyDescent="0.3">
      <c r="A880" t="s">
        <v>930</v>
      </c>
      <c r="B880" s="1">
        <v>45977</v>
      </c>
      <c r="C880" t="s">
        <v>893</v>
      </c>
      <c r="D880" t="s">
        <v>49</v>
      </c>
      <c r="E880" t="s">
        <v>28</v>
      </c>
      <c r="F880" t="s">
        <v>33</v>
      </c>
      <c r="G880" t="s">
        <v>26</v>
      </c>
      <c r="H880" t="s">
        <v>40</v>
      </c>
      <c r="I880">
        <v>5</v>
      </c>
      <c r="J880">
        <v>506.03</v>
      </c>
      <c r="K880">
        <v>2530.15</v>
      </c>
      <c r="L880" t="s">
        <v>30</v>
      </c>
      <c r="M880" t="s">
        <v>43</v>
      </c>
      <c r="N880" s="1">
        <v>46122</v>
      </c>
      <c r="O880">
        <v>2530.15</v>
      </c>
    </row>
    <row r="881" spans="1:15" x14ac:dyDescent="0.3">
      <c r="A881" t="s">
        <v>931</v>
      </c>
      <c r="B881" s="1">
        <v>45977</v>
      </c>
      <c r="C881" t="s">
        <v>893</v>
      </c>
      <c r="D881" t="s">
        <v>17</v>
      </c>
      <c r="E881" t="s">
        <v>25</v>
      </c>
      <c r="F881" t="s">
        <v>33</v>
      </c>
      <c r="G881" t="s">
        <v>20</v>
      </c>
      <c r="H881" t="s">
        <v>40</v>
      </c>
      <c r="I881">
        <v>6</v>
      </c>
      <c r="J881">
        <v>1582.09</v>
      </c>
      <c r="K881">
        <v>9492.5400000000009</v>
      </c>
      <c r="L881" t="s">
        <v>30</v>
      </c>
      <c r="M881" t="s">
        <v>31</v>
      </c>
      <c r="N881" s="1">
        <v>46152</v>
      </c>
      <c r="O881">
        <v>9492.5400000000009</v>
      </c>
    </row>
    <row r="882" spans="1:15" x14ac:dyDescent="0.3">
      <c r="A882" t="s">
        <v>932</v>
      </c>
      <c r="B882" s="1">
        <v>45978</v>
      </c>
      <c r="C882" t="s">
        <v>893</v>
      </c>
      <c r="D882" t="s">
        <v>17</v>
      </c>
      <c r="E882" t="s">
        <v>25</v>
      </c>
      <c r="F882" t="s">
        <v>51</v>
      </c>
      <c r="G882" t="s">
        <v>20</v>
      </c>
      <c r="H882" t="s">
        <v>21</v>
      </c>
      <c r="I882">
        <v>7</v>
      </c>
      <c r="J882">
        <v>1602.72</v>
      </c>
      <c r="K882">
        <v>11219.04</v>
      </c>
      <c r="L882" t="s">
        <v>22</v>
      </c>
      <c r="M882" t="s">
        <v>22</v>
      </c>
      <c r="N882" s="1">
        <v>46203</v>
      </c>
      <c r="O882">
        <v>11219.04</v>
      </c>
    </row>
    <row r="883" spans="1:15" x14ac:dyDescent="0.3">
      <c r="A883" t="s">
        <v>933</v>
      </c>
      <c r="B883" s="1">
        <v>45978</v>
      </c>
      <c r="C883" t="s">
        <v>893</v>
      </c>
      <c r="D883" t="s">
        <v>24</v>
      </c>
      <c r="E883" t="s">
        <v>28</v>
      </c>
      <c r="F883" t="s">
        <v>19</v>
      </c>
      <c r="G883" t="s">
        <v>39</v>
      </c>
      <c r="H883" t="s">
        <v>45</v>
      </c>
      <c r="I883">
        <v>7</v>
      </c>
      <c r="J883">
        <v>947.5</v>
      </c>
      <c r="K883">
        <v>6632.5</v>
      </c>
      <c r="L883" t="s">
        <v>22</v>
      </c>
      <c r="M883" t="s">
        <v>22</v>
      </c>
      <c r="N883" s="1">
        <v>46203</v>
      </c>
      <c r="O883">
        <v>6632.5</v>
      </c>
    </row>
    <row r="884" spans="1:15" x14ac:dyDescent="0.3">
      <c r="A884" t="s">
        <v>934</v>
      </c>
      <c r="B884" s="1">
        <v>45979</v>
      </c>
      <c r="C884" t="s">
        <v>893</v>
      </c>
      <c r="D884" t="s">
        <v>24</v>
      </c>
      <c r="E884" t="s">
        <v>25</v>
      </c>
      <c r="F884" t="s">
        <v>51</v>
      </c>
      <c r="G884" t="s">
        <v>39</v>
      </c>
      <c r="H884" t="s">
        <v>40</v>
      </c>
      <c r="I884">
        <v>7</v>
      </c>
      <c r="J884">
        <v>837.22</v>
      </c>
      <c r="K884">
        <v>5860.54</v>
      </c>
      <c r="L884" t="s">
        <v>22</v>
      </c>
      <c r="M884" t="s">
        <v>22</v>
      </c>
      <c r="N884" s="1">
        <v>46203</v>
      </c>
      <c r="O884">
        <v>5860.54</v>
      </c>
    </row>
    <row r="885" spans="1:15" x14ac:dyDescent="0.3">
      <c r="A885" t="s">
        <v>935</v>
      </c>
      <c r="B885" s="1">
        <v>45980</v>
      </c>
      <c r="C885" t="s">
        <v>893</v>
      </c>
      <c r="D885" t="s">
        <v>49</v>
      </c>
      <c r="E885" t="s">
        <v>50</v>
      </c>
      <c r="F885" t="s">
        <v>51</v>
      </c>
      <c r="G885" t="s">
        <v>39</v>
      </c>
      <c r="H885" t="s">
        <v>21</v>
      </c>
      <c r="I885">
        <v>7</v>
      </c>
      <c r="J885">
        <v>501.46</v>
      </c>
      <c r="K885">
        <v>3510.22</v>
      </c>
      <c r="L885" t="s">
        <v>22</v>
      </c>
      <c r="M885" t="s">
        <v>22</v>
      </c>
      <c r="N885" s="1">
        <v>46203</v>
      </c>
      <c r="O885">
        <v>3510.22</v>
      </c>
    </row>
    <row r="886" spans="1:15" x14ac:dyDescent="0.3">
      <c r="A886" t="s">
        <v>936</v>
      </c>
      <c r="B886" s="1">
        <v>45981</v>
      </c>
      <c r="C886" t="s">
        <v>893</v>
      </c>
      <c r="D886" t="s">
        <v>24</v>
      </c>
      <c r="E886" t="s">
        <v>50</v>
      </c>
      <c r="F886" t="s">
        <v>33</v>
      </c>
      <c r="G886" t="s">
        <v>26</v>
      </c>
      <c r="H886" t="s">
        <v>40</v>
      </c>
      <c r="I886">
        <v>7</v>
      </c>
      <c r="J886">
        <v>838.88</v>
      </c>
      <c r="K886">
        <v>5872.16</v>
      </c>
      <c r="L886" t="s">
        <v>22</v>
      </c>
      <c r="M886" t="s">
        <v>22</v>
      </c>
      <c r="N886" s="1">
        <v>46203</v>
      </c>
      <c r="O886">
        <v>5872.16</v>
      </c>
    </row>
    <row r="887" spans="1:15" x14ac:dyDescent="0.3">
      <c r="A887" t="s">
        <v>937</v>
      </c>
      <c r="B887" s="1">
        <v>45982</v>
      </c>
      <c r="C887" t="s">
        <v>893</v>
      </c>
      <c r="D887" t="s">
        <v>49</v>
      </c>
      <c r="E887" t="s">
        <v>28</v>
      </c>
      <c r="F887" t="s">
        <v>29</v>
      </c>
      <c r="G887" t="s">
        <v>39</v>
      </c>
      <c r="H887" t="s">
        <v>45</v>
      </c>
      <c r="I887">
        <v>7</v>
      </c>
      <c r="J887">
        <v>482.28</v>
      </c>
      <c r="K887">
        <v>3375.96</v>
      </c>
      <c r="L887" t="s">
        <v>22</v>
      </c>
      <c r="M887" t="s">
        <v>22</v>
      </c>
      <c r="N887" s="1">
        <v>46203</v>
      </c>
      <c r="O887">
        <v>3375.96</v>
      </c>
    </row>
    <row r="888" spans="1:15" x14ac:dyDescent="0.3">
      <c r="A888" t="s">
        <v>938</v>
      </c>
      <c r="B888" s="1">
        <v>45982</v>
      </c>
      <c r="C888" t="s">
        <v>893</v>
      </c>
      <c r="D888" t="s">
        <v>49</v>
      </c>
      <c r="E888" t="s">
        <v>25</v>
      </c>
      <c r="F888" t="s">
        <v>51</v>
      </c>
      <c r="G888" t="s">
        <v>20</v>
      </c>
      <c r="H888" t="s">
        <v>40</v>
      </c>
      <c r="I888">
        <v>7</v>
      </c>
      <c r="J888">
        <v>532.89</v>
      </c>
      <c r="K888">
        <v>3730.23</v>
      </c>
      <c r="L888" t="s">
        <v>22</v>
      </c>
      <c r="M888" t="s">
        <v>22</v>
      </c>
      <c r="N888" s="1">
        <v>46203</v>
      </c>
      <c r="O888">
        <v>3730.23</v>
      </c>
    </row>
    <row r="889" spans="1:15" x14ac:dyDescent="0.3">
      <c r="A889" t="s">
        <v>939</v>
      </c>
      <c r="B889" s="1">
        <v>45983</v>
      </c>
      <c r="C889" t="s">
        <v>893</v>
      </c>
      <c r="D889" t="s">
        <v>49</v>
      </c>
      <c r="E889" t="s">
        <v>50</v>
      </c>
      <c r="F889" t="s">
        <v>33</v>
      </c>
      <c r="G889" t="s">
        <v>26</v>
      </c>
      <c r="H889" t="s">
        <v>21</v>
      </c>
      <c r="I889">
        <v>7</v>
      </c>
      <c r="J889">
        <v>533.21</v>
      </c>
      <c r="K889">
        <v>3732.47</v>
      </c>
      <c r="L889" t="s">
        <v>22</v>
      </c>
      <c r="M889" t="s">
        <v>22</v>
      </c>
      <c r="N889" s="1">
        <v>46203</v>
      </c>
      <c r="O889">
        <v>3732.47</v>
      </c>
    </row>
    <row r="890" spans="1:15" x14ac:dyDescent="0.3">
      <c r="A890" t="s">
        <v>940</v>
      </c>
      <c r="B890" s="1">
        <v>45983</v>
      </c>
      <c r="C890" t="s">
        <v>893</v>
      </c>
      <c r="D890" t="s">
        <v>24</v>
      </c>
      <c r="E890" t="s">
        <v>50</v>
      </c>
      <c r="F890" t="s">
        <v>19</v>
      </c>
      <c r="G890" t="s">
        <v>39</v>
      </c>
      <c r="H890" t="s">
        <v>45</v>
      </c>
      <c r="I890">
        <v>7</v>
      </c>
      <c r="J890">
        <v>814.61</v>
      </c>
      <c r="K890">
        <v>5702.27</v>
      </c>
      <c r="L890" t="s">
        <v>22</v>
      </c>
      <c r="M890" t="s">
        <v>22</v>
      </c>
      <c r="N890" s="1">
        <v>46203</v>
      </c>
      <c r="O890">
        <v>5702.27</v>
      </c>
    </row>
    <row r="891" spans="1:15" x14ac:dyDescent="0.3">
      <c r="A891" t="s">
        <v>941</v>
      </c>
      <c r="B891" s="1">
        <v>45983</v>
      </c>
      <c r="C891" t="s">
        <v>893</v>
      </c>
      <c r="D891" t="s">
        <v>49</v>
      </c>
      <c r="E891" t="s">
        <v>18</v>
      </c>
      <c r="F891" t="s">
        <v>29</v>
      </c>
      <c r="G891" t="s">
        <v>26</v>
      </c>
      <c r="H891" t="s">
        <v>21</v>
      </c>
      <c r="I891">
        <v>7</v>
      </c>
      <c r="J891">
        <v>511.14</v>
      </c>
      <c r="K891">
        <v>3577.98</v>
      </c>
      <c r="L891" t="s">
        <v>22</v>
      </c>
      <c r="M891" t="s">
        <v>22</v>
      </c>
      <c r="N891" s="1">
        <v>46203</v>
      </c>
      <c r="O891">
        <v>3577.98</v>
      </c>
    </row>
    <row r="892" spans="1:15" x14ac:dyDescent="0.3">
      <c r="A892" t="s">
        <v>942</v>
      </c>
      <c r="B892" s="1">
        <v>45983</v>
      </c>
      <c r="C892" t="s">
        <v>893</v>
      </c>
      <c r="D892" t="s">
        <v>17</v>
      </c>
      <c r="E892" t="s">
        <v>25</v>
      </c>
      <c r="F892" t="s">
        <v>29</v>
      </c>
      <c r="G892" t="s">
        <v>39</v>
      </c>
      <c r="H892" t="s">
        <v>40</v>
      </c>
      <c r="I892">
        <v>7</v>
      </c>
      <c r="J892">
        <v>1503.11</v>
      </c>
      <c r="K892">
        <v>10521.77</v>
      </c>
      <c r="L892" t="s">
        <v>22</v>
      </c>
      <c r="M892" t="s">
        <v>22</v>
      </c>
      <c r="N892" s="1">
        <v>46203</v>
      </c>
      <c r="O892">
        <v>10521.77</v>
      </c>
    </row>
    <row r="893" spans="1:15" x14ac:dyDescent="0.3">
      <c r="A893" t="s">
        <v>943</v>
      </c>
      <c r="B893" s="1">
        <v>45984</v>
      </c>
      <c r="C893" t="s">
        <v>893</v>
      </c>
      <c r="D893" t="s">
        <v>24</v>
      </c>
      <c r="E893" t="s">
        <v>25</v>
      </c>
      <c r="F893" t="s">
        <v>19</v>
      </c>
      <c r="G893" t="s">
        <v>39</v>
      </c>
      <c r="H893" t="s">
        <v>21</v>
      </c>
      <c r="I893">
        <v>4</v>
      </c>
      <c r="J893">
        <v>821.45</v>
      </c>
      <c r="K893">
        <v>3285.8</v>
      </c>
      <c r="L893" t="s">
        <v>30</v>
      </c>
      <c r="M893" t="s">
        <v>31</v>
      </c>
      <c r="N893" s="1">
        <v>46095</v>
      </c>
      <c r="O893">
        <v>3285.8</v>
      </c>
    </row>
    <row r="894" spans="1:15" x14ac:dyDescent="0.3">
      <c r="A894" t="s">
        <v>944</v>
      </c>
      <c r="B894" s="1">
        <v>45984</v>
      </c>
      <c r="C894" t="s">
        <v>893</v>
      </c>
      <c r="D894" t="s">
        <v>24</v>
      </c>
      <c r="E894" t="s">
        <v>28</v>
      </c>
      <c r="F894" t="s">
        <v>33</v>
      </c>
      <c r="G894" t="s">
        <v>39</v>
      </c>
      <c r="H894" t="s">
        <v>34</v>
      </c>
      <c r="I894">
        <v>7</v>
      </c>
      <c r="J894">
        <v>941.15</v>
      </c>
      <c r="K894">
        <v>6588.05</v>
      </c>
      <c r="L894" t="s">
        <v>22</v>
      </c>
      <c r="M894" t="s">
        <v>22</v>
      </c>
      <c r="N894" s="1">
        <v>46203</v>
      </c>
      <c r="O894">
        <v>6588.05</v>
      </c>
    </row>
    <row r="895" spans="1:15" x14ac:dyDescent="0.3">
      <c r="A895" t="s">
        <v>945</v>
      </c>
      <c r="B895" s="1">
        <v>45985</v>
      </c>
      <c r="C895" t="s">
        <v>893</v>
      </c>
      <c r="D895" t="s">
        <v>49</v>
      </c>
      <c r="E895" t="s">
        <v>28</v>
      </c>
      <c r="F895" t="s">
        <v>29</v>
      </c>
      <c r="G895" t="s">
        <v>20</v>
      </c>
      <c r="H895" t="s">
        <v>40</v>
      </c>
      <c r="I895">
        <v>7</v>
      </c>
      <c r="J895">
        <v>505.58</v>
      </c>
      <c r="K895">
        <v>3539.06</v>
      </c>
      <c r="L895" t="s">
        <v>22</v>
      </c>
      <c r="M895" t="s">
        <v>22</v>
      </c>
      <c r="N895" s="1">
        <v>46203</v>
      </c>
      <c r="O895">
        <v>3539.06</v>
      </c>
    </row>
    <row r="896" spans="1:15" x14ac:dyDescent="0.3">
      <c r="A896" t="s">
        <v>946</v>
      </c>
      <c r="B896" s="1">
        <v>45985</v>
      </c>
      <c r="C896" t="s">
        <v>893</v>
      </c>
      <c r="D896" t="s">
        <v>49</v>
      </c>
      <c r="E896" t="s">
        <v>18</v>
      </c>
      <c r="F896" t="s">
        <v>29</v>
      </c>
      <c r="G896" t="s">
        <v>39</v>
      </c>
      <c r="H896" t="s">
        <v>21</v>
      </c>
      <c r="I896">
        <v>7</v>
      </c>
      <c r="J896">
        <v>505.97</v>
      </c>
      <c r="K896">
        <v>3541.79</v>
      </c>
      <c r="L896" t="s">
        <v>22</v>
      </c>
      <c r="M896" t="s">
        <v>22</v>
      </c>
      <c r="N896" s="1">
        <v>46203</v>
      </c>
      <c r="O896">
        <v>3541.79</v>
      </c>
    </row>
    <row r="897" spans="1:15" x14ac:dyDescent="0.3">
      <c r="A897" t="s">
        <v>947</v>
      </c>
      <c r="B897" s="1">
        <v>45985</v>
      </c>
      <c r="C897" t="s">
        <v>893</v>
      </c>
      <c r="D897" t="s">
        <v>24</v>
      </c>
      <c r="E897" t="s">
        <v>25</v>
      </c>
      <c r="F897" t="s">
        <v>38</v>
      </c>
      <c r="G897" t="s">
        <v>20</v>
      </c>
      <c r="H897" t="s">
        <v>45</v>
      </c>
      <c r="I897">
        <v>7</v>
      </c>
      <c r="J897">
        <v>913.21</v>
      </c>
      <c r="K897">
        <v>6392.47</v>
      </c>
      <c r="L897" t="s">
        <v>22</v>
      </c>
      <c r="M897" t="s">
        <v>22</v>
      </c>
      <c r="N897" s="1">
        <v>46203</v>
      </c>
      <c r="O897">
        <v>6392.47</v>
      </c>
    </row>
    <row r="898" spans="1:15" x14ac:dyDescent="0.3">
      <c r="A898" t="s">
        <v>948</v>
      </c>
      <c r="B898" s="1">
        <v>45985</v>
      </c>
      <c r="C898" t="s">
        <v>893</v>
      </c>
      <c r="D898" t="s">
        <v>24</v>
      </c>
      <c r="E898" t="s">
        <v>18</v>
      </c>
      <c r="F898" t="s">
        <v>19</v>
      </c>
      <c r="G898" t="s">
        <v>39</v>
      </c>
      <c r="H898" t="s">
        <v>40</v>
      </c>
      <c r="I898">
        <v>7</v>
      </c>
      <c r="J898">
        <v>910.57</v>
      </c>
      <c r="K898">
        <v>6373.99</v>
      </c>
      <c r="L898" t="s">
        <v>22</v>
      </c>
      <c r="M898" t="s">
        <v>22</v>
      </c>
      <c r="N898" s="1">
        <v>46203</v>
      </c>
      <c r="O898">
        <v>6373.99</v>
      </c>
    </row>
    <row r="899" spans="1:15" x14ac:dyDescent="0.3">
      <c r="A899" t="s">
        <v>949</v>
      </c>
      <c r="B899" s="1">
        <v>45986</v>
      </c>
      <c r="C899" t="s">
        <v>893</v>
      </c>
      <c r="D899" t="s">
        <v>49</v>
      </c>
      <c r="E899" t="s">
        <v>50</v>
      </c>
      <c r="F899" t="s">
        <v>38</v>
      </c>
      <c r="G899" t="s">
        <v>39</v>
      </c>
      <c r="H899" t="s">
        <v>21</v>
      </c>
      <c r="I899">
        <v>5</v>
      </c>
      <c r="J899">
        <v>524.39</v>
      </c>
      <c r="K899">
        <v>2621.95</v>
      </c>
      <c r="L899" t="s">
        <v>30</v>
      </c>
      <c r="M899" t="s">
        <v>36</v>
      </c>
      <c r="N899" s="1">
        <v>46130</v>
      </c>
      <c r="O899">
        <v>2621.95</v>
      </c>
    </row>
    <row r="900" spans="1:15" x14ac:dyDescent="0.3">
      <c r="A900" t="s">
        <v>950</v>
      </c>
      <c r="B900" s="1">
        <v>45987</v>
      </c>
      <c r="C900" t="s">
        <v>893</v>
      </c>
      <c r="D900" t="s">
        <v>24</v>
      </c>
      <c r="E900" t="s">
        <v>50</v>
      </c>
      <c r="F900" t="s">
        <v>51</v>
      </c>
      <c r="G900" t="s">
        <v>20</v>
      </c>
      <c r="H900" t="s">
        <v>34</v>
      </c>
      <c r="I900">
        <v>7</v>
      </c>
      <c r="J900">
        <v>830.04</v>
      </c>
      <c r="K900">
        <v>5810.28</v>
      </c>
      <c r="L900" t="s">
        <v>22</v>
      </c>
      <c r="M900" t="s">
        <v>22</v>
      </c>
      <c r="N900" s="1">
        <v>46203</v>
      </c>
      <c r="O900">
        <v>5810.28</v>
      </c>
    </row>
    <row r="901" spans="1:15" x14ac:dyDescent="0.3">
      <c r="A901" t="s">
        <v>951</v>
      </c>
      <c r="B901" s="1">
        <v>45987</v>
      </c>
      <c r="C901" t="s">
        <v>893</v>
      </c>
      <c r="D901" t="s">
        <v>17</v>
      </c>
      <c r="E901" t="s">
        <v>18</v>
      </c>
      <c r="F901" t="s">
        <v>19</v>
      </c>
      <c r="G901" t="s">
        <v>39</v>
      </c>
      <c r="H901" t="s">
        <v>21</v>
      </c>
      <c r="I901">
        <v>7</v>
      </c>
      <c r="J901">
        <v>1379.18</v>
      </c>
      <c r="K901">
        <v>9654.26</v>
      </c>
      <c r="L901" t="s">
        <v>22</v>
      </c>
      <c r="M901" t="s">
        <v>22</v>
      </c>
      <c r="N901" s="1">
        <v>46203</v>
      </c>
      <c r="O901">
        <v>9654.26</v>
      </c>
    </row>
    <row r="902" spans="1:15" x14ac:dyDescent="0.3">
      <c r="A902" t="s">
        <v>952</v>
      </c>
      <c r="B902" s="1">
        <v>45988</v>
      </c>
      <c r="C902" t="s">
        <v>893</v>
      </c>
      <c r="D902" t="s">
        <v>24</v>
      </c>
      <c r="E902" t="s">
        <v>25</v>
      </c>
      <c r="F902" t="s">
        <v>33</v>
      </c>
      <c r="G902" t="s">
        <v>20</v>
      </c>
      <c r="H902" t="s">
        <v>34</v>
      </c>
      <c r="I902">
        <v>7</v>
      </c>
      <c r="J902">
        <v>928.18</v>
      </c>
      <c r="K902">
        <v>6497.26</v>
      </c>
      <c r="L902" t="s">
        <v>22</v>
      </c>
      <c r="M902" t="s">
        <v>22</v>
      </c>
      <c r="N902" s="1">
        <v>46203</v>
      </c>
      <c r="O902">
        <v>6497.26</v>
      </c>
    </row>
    <row r="903" spans="1:15" x14ac:dyDescent="0.3">
      <c r="A903" t="s">
        <v>953</v>
      </c>
      <c r="B903" s="1">
        <v>45988</v>
      </c>
      <c r="C903" t="s">
        <v>893</v>
      </c>
      <c r="D903" t="s">
        <v>49</v>
      </c>
      <c r="E903" t="s">
        <v>25</v>
      </c>
      <c r="F903" t="s">
        <v>29</v>
      </c>
      <c r="G903" t="s">
        <v>26</v>
      </c>
      <c r="H903" t="s">
        <v>21</v>
      </c>
      <c r="I903">
        <v>7</v>
      </c>
      <c r="J903">
        <v>495.24</v>
      </c>
      <c r="K903">
        <v>3466.68</v>
      </c>
      <c r="L903" t="s">
        <v>22</v>
      </c>
      <c r="M903" t="s">
        <v>22</v>
      </c>
      <c r="N903" s="1">
        <v>46203</v>
      </c>
      <c r="O903">
        <v>3466.68</v>
      </c>
    </row>
    <row r="904" spans="1:15" x14ac:dyDescent="0.3">
      <c r="A904" t="s">
        <v>954</v>
      </c>
      <c r="B904" s="1">
        <v>45989</v>
      </c>
      <c r="C904" t="s">
        <v>893</v>
      </c>
      <c r="D904" t="s">
        <v>49</v>
      </c>
      <c r="E904" t="s">
        <v>50</v>
      </c>
      <c r="F904" t="s">
        <v>19</v>
      </c>
      <c r="G904" t="s">
        <v>39</v>
      </c>
      <c r="H904" t="s">
        <v>40</v>
      </c>
      <c r="I904">
        <v>7</v>
      </c>
      <c r="J904">
        <v>458.8</v>
      </c>
      <c r="K904">
        <v>3211.6</v>
      </c>
      <c r="L904" t="s">
        <v>22</v>
      </c>
      <c r="M904" t="s">
        <v>22</v>
      </c>
      <c r="N904" s="1">
        <v>46203</v>
      </c>
      <c r="O904">
        <v>3211.6</v>
      </c>
    </row>
    <row r="905" spans="1:15" x14ac:dyDescent="0.3">
      <c r="A905" t="s">
        <v>955</v>
      </c>
      <c r="B905" s="1">
        <v>45989</v>
      </c>
      <c r="C905" t="s">
        <v>893</v>
      </c>
      <c r="D905" t="s">
        <v>24</v>
      </c>
      <c r="E905" t="s">
        <v>18</v>
      </c>
      <c r="F905" t="s">
        <v>33</v>
      </c>
      <c r="G905" t="s">
        <v>39</v>
      </c>
      <c r="H905" t="s">
        <v>45</v>
      </c>
      <c r="I905">
        <v>7</v>
      </c>
      <c r="J905">
        <v>967.47</v>
      </c>
      <c r="K905">
        <v>6772.29</v>
      </c>
      <c r="L905" t="s">
        <v>22</v>
      </c>
      <c r="M905" t="s">
        <v>22</v>
      </c>
      <c r="N905" s="1">
        <v>46203</v>
      </c>
      <c r="O905">
        <v>6772.29</v>
      </c>
    </row>
    <row r="906" spans="1:15" x14ac:dyDescent="0.3">
      <c r="A906" t="s">
        <v>956</v>
      </c>
      <c r="B906" s="1">
        <v>45990</v>
      </c>
      <c r="C906" t="s">
        <v>893</v>
      </c>
      <c r="D906" t="s">
        <v>24</v>
      </c>
      <c r="E906" t="s">
        <v>25</v>
      </c>
      <c r="F906" t="s">
        <v>19</v>
      </c>
      <c r="G906" t="s">
        <v>20</v>
      </c>
      <c r="H906" t="s">
        <v>21</v>
      </c>
      <c r="I906">
        <v>7</v>
      </c>
      <c r="J906">
        <v>937.44</v>
      </c>
      <c r="K906">
        <v>6562.08</v>
      </c>
      <c r="L906" t="s">
        <v>22</v>
      </c>
      <c r="M906" t="s">
        <v>22</v>
      </c>
      <c r="N906" s="1">
        <v>46203</v>
      </c>
      <c r="O906">
        <v>6562.08</v>
      </c>
    </row>
    <row r="907" spans="1:15" x14ac:dyDescent="0.3">
      <c r="A907" t="s">
        <v>957</v>
      </c>
      <c r="B907" s="1">
        <v>45991</v>
      </c>
      <c r="C907" t="s">
        <v>893</v>
      </c>
      <c r="D907" t="s">
        <v>49</v>
      </c>
      <c r="E907" t="s">
        <v>25</v>
      </c>
      <c r="F907" t="s">
        <v>33</v>
      </c>
      <c r="G907" t="s">
        <v>20</v>
      </c>
      <c r="H907" t="s">
        <v>34</v>
      </c>
      <c r="I907">
        <v>7</v>
      </c>
      <c r="J907">
        <v>532.73</v>
      </c>
      <c r="K907">
        <v>3729.11</v>
      </c>
      <c r="L907" t="s">
        <v>22</v>
      </c>
      <c r="M907" t="s">
        <v>22</v>
      </c>
      <c r="N907" s="1">
        <v>46203</v>
      </c>
      <c r="O907">
        <v>3729.11</v>
      </c>
    </row>
    <row r="908" spans="1:15" x14ac:dyDescent="0.3">
      <c r="A908" t="s">
        <v>958</v>
      </c>
      <c r="B908" s="1">
        <v>45992</v>
      </c>
      <c r="C908" t="s">
        <v>959</v>
      </c>
      <c r="D908" t="s">
        <v>24</v>
      </c>
      <c r="E908" t="s">
        <v>28</v>
      </c>
      <c r="F908" t="s">
        <v>19</v>
      </c>
      <c r="G908" t="s">
        <v>39</v>
      </c>
      <c r="H908" t="s">
        <v>40</v>
      </c>
      <c r="I908">
        <v>7</v>
      </c>
      <c r="J908">
        <v>975.2</v>
      </c>
      <c r="K908">
        <v>6826.4</v>
      </c>
      <c r="L908" t="s">
        <v>22</v>
      </c>
      <c r="M908" t="s">
        <v>22</v>
      </c>
      <c r="N908" s="1">
        <v>46203</v>
      </c>
      <c r="O908">
        <v>6826.4</v>
      </c>
    </row>
    <row r="909" spans="1:15" x14ac:dyDescent="0.3">
      <c r="A909" t="s">
        <v>960</v>
      </c>
      <c r="B909" s="1">
        <v>45992</v>
      </c>
      <c r="C909" t="s">
        <v>959</v>
      </c>
      <c r="D909" t="s">
        <v>24</v>
      </c>
      <c r="E909" t="s">
        <v>28</v>
      </c>
      <c r="F909" t="s">
        <v>29</v>
      </c>
      <c r="G909" t="s">
        <v>39</v>
      </c>
      <c r="H909" t="s">
        <v>40</v>
      </c>
      <c r="I909">
        <v>7</v>
      </c>
      <c r="J909">
        <v>837.28</v>
      </c>
      <c r="K909">
        <v>5860.96</v>
      </c>
      <c r="L909" t="s">
        <v>22</v>
      </c>
      <c r="M909" t="s">
        <v>22</v>
      </c>
      <c r="N909" s="1">
        <v>46203</v>
      </c>
      <c r="O909">
        <v>5860.96</v>
      </c>
    </row>
    <row r="910" spans="1:15" x14ac:dyDescent="0.3">
      <c r="A910" t="s">
        <v>961</v>
      </c>
      <c r="B910" s="1">
        <v>45992</v>
      </c>
      <c r="C910" t="s">
        <v>959</v>
      </c>
      <c r="D910" t="s">
        <v>24</v>
      </c>
      <c r="E910" t="s">
        <v>28</v>
      </c>
      <c r="F910" t="s">
        <v>51</v>
      </c>
      <c r="G910" t="s">
        <v>39</v>
      </c>
      <c r="H910" t="s">
        <v>34</v>
      </c>
      <c r="I910">
        <v>5</v>
      </c>
      <c r="J910">
        <v>840.38</v>
      </c>
      <c r="K910">
        <v>4201.8999999999996</v>
      </c>
      <c r="L910" t="s">
        <v>30</v>
      </c>
      <c r="M910" t="s">
        <v>43</v>
      </c>
      <c r="N910" s="1">
        <v>46146</v>
      </c>
      <c r="O910">
        <v>4201.8999999999996</v>
      </c>
    </row>
    <row r="911" spans="1:15" x14ac:dyDescent="0.3">
      <c r="A911" t="s">
        <v>962</v>
      </c>
      <c r="B911" s="1">
        <v>45992</v>
      </c>
      <c r="C911" t="s">
        <v>959</v>
      </c>
      <c r="D911" t="s">
        <v>24</v>
      </c>
      <c r="E911" t="s">
        <v>25</v>
      </c>
      <c r="F911" t="s">
        <v>38</v>
      </c>
      <c r="G911" t="s">
        <v>39</v>
      </c>
      <c r="H911" t="s">
        <v>21</v>
      </c>
      <c r="I911">
        <v>7</v>
      </c>
      <c r="J911">
        <v>915.32</v>
      </c>
      <c r="K911">
        <v>6407.24</v>
      </c>
      <c r="L911" t="s">
        <v>22</v>
      </c>
      <c r="M911" t="s">
        <v>22</v>
      </c>
      <c r="N911" s="1">
        <v>46203</v>
      </c>
      <c r="O911">
        <v>6407.24</v>
      </c>
    </row>
    <row r="912" spans="1:15" x14ac:dyDescent="0.3">
      <c r="A912" t="s">
        <v>963</v>
      </c>
      <c r="B912" s="1">
        <v>45993</v>
      </c>
      <c r="C912" t="s">
        <v>959</v>
      </c>
      <c r="D912" t="s">
        <v>17</v>
      </c>
      <c r="E912" t="s">
        <v>25</v>
      </c>
      <c r="F912" t="s">
        <v>33</v>
      </c>
      <c r="G912" t="s">
        <v>39</v>
      </c>
      <c r="H912" t="s">
        <v>21</v>
      </c>
      <c r="I912">
        <v>7</v>
      </c>
      <c r="J912">
        <v>1452.74</v>
      </c>
      <c r="K912">
        <v>10169.18</v>
      </c>
      <c r="L912" t="s">
        <v>22</v>
      </c>
      <c r="M912" t="s">
        <v>22</v>
      </c>
      <c r="N912" s="1">
        <v>46203</v>
      </c>
      <c r="O912">
        <v>10169.18</v>
      </c>
    </row>
    <row r="913" spans="1:15" x14ac:dyDescent="0.3">
      <c r="A913" t="s">
        <v>964</v>
      </c>
      <c r="B913" s="1">
        <v>45993</v>
      </c>
      <c r="C913" t="s">
        <v>959</v>
      </c>
      <c r="D913" t="s">
        <v>24</v>
      </c>
      <c r="E913" t="s">
        <v>28</v>
      </c>
      <c r="F913" t="s">
        <v>29</v>
      </c>
      <c r="G913" t="s">
        <v>26</v>
      </c>
      <c r="H913" t="s">
        <v>40</v>
      </c>
      <c r="I913">
        <v>7</v>
      </c>
      <c r="J913">
        <v>980.62</v>
      </c>
      <c r="K913">
        <v>6864.34</v>
      </c>
      <c r="L913" t="s">
        <v>22</v>
      </c>
      <c r="M913" t="s">
        <v>22</v>
      </c>
      <c r="N913" s="1">
        <v>46203</v>
      </c>
      <c r="O913">
        <v>6864.34</v>
      </c>
    </row>
    <row r="914" spans="1:15" x14ac:dyDescent="0.3">
      <c r="A914" t="s">
        <v>965</v>
      </c>
      <c r="B914" s="1">
        <v>45993</v>
      </c>
      <c r="C914" t="s">
        <v>959</v>
      </c>
      <c r="D914" t="s">
        <v>49</v>
      </c>
      <c r="E914" t="s">
        <v>28</v>
      </c>
      <c r="F914" t="s">
        <v>51</v>
      </c>
      <c r="G914" t="s">
        <v>39</v>
      </c>
      <c r="H914" t="s">
        <v>21</v>
      </c>
      <c r="I914">
        <v>7</v>
      </c>
      <c r="J914">
        <v>465.25</v>
      </c>
      <c r="K914">
        <v>3256.75</v>
      </c>
      <c r="L914" t="s">
        <v>22</v>
      </c>
      <c r="M914" t="s">
        <v>22</v>
      </c>
      <c r="N914" s="1">
        <v>46203</v>
      </c>
      <c r="O914">
        <v>3256.75</v>
      </c>
    </row>
    <row r="915" spans="1:15" x14ac:dyDescent="0.3">
      <c r="A915" t="s">
        <v>966</v>
      </c>
      <c r="B915" s="1">
        <v>45993</v>
      </c>
      <c r="C915" t="s">
        <v>959</v>
      </c>
      <c r="D915" t="s">
        <v>49</v>
      </c>
      <c r="E915" t="s">
        <v>50</v>
      </c>
      <c r="F915" t="s">
        <v>33</v>
      </c>
      <c r="G915" t="s">
        <v>39</v>
      </c>
      <c r="H915" t="s">
        <v>21</v>
      </c>
      <c r="I915">
        <v>7</v>
      </c>
      <c r="J915">
        <v>473.82</v>
      </c>
      <c r="K915">
        <v>3316.74</v>
      </c>
      <c r="L915" t="s">
        <v>22</v>
      </c>
      <c r="M915" t="s">
        <v>22</v>
      </c>
      <c r="N915" s="1">
        <v>46203</v>
      </c>
      <c r="O915">
        <v>3316.74</v>
      </c>
    </row>
    <row r="916" spans="1:15" x14ac:dyDescent="0.3">
      <c r="A916" t="s">
        <v>967</v>
      </c>
      <c r="B916" s="1">
        <v>45994</v>
      </c>
      <c r="C916" t="s">
        <v>959</v>
      </c>
      <c r="D916" t="s">
        <v>24</v>
      </c>
      <c r="E916" t="s">
        <v>28</v>
      </c>
      <c r="F916" t="s">
        <v>29</v>
      </c>
      <c r="G916" t="s">
        <v>26</v>
      </c>
      <c r="H916" t="s">
        <v>21</v>
      </c>
      <c r="I916">
        <v>7</v>
      </c>
      <c r="J916">
        <v>840.35</v>
      </c>
      <c r="K916">
        <v>5882.45</v>
      </c>
      <c r="L916" t="s">
        <v>22</v>
      </c>
      <c r="M916" t="s">
        <v>22</v>
      </c>
      <c r="N916" s="1">
        <v>46203</v>
      </c>
      <c r="O916">
        <v>5882.45</v>
      </c>
    </row>
    <row r="917" spans="1:15" x14ac:dyDescent="0.3">
      <c r="A917" t="s">
        <v>968</v>
      </c>
      <c r="B917" s="1">
        <v>45994</v>
      </c>
      <c r="C917" t="s">
        <v>959</v>
      </c>
      <c r="D917" t="s">
        <v>49</v>
      </c>
      <c r="E917" t="s">
        <v>25</v>
      </c>
      <c r="F917" t="s">
        <v>19</v>
      </c>
      <c r="G917" t="s">
        <v>20</v>
      </c>
      <c r="H917" t="s">
        <v>21</v>
      </c>
      <c r="I917">
        <v>6</v>
      </c>
      <c r="J917">
        <v>530.79</v>
      </c>
      <c r="K917">
        <v>3184.74</v>
      </c>
      <c r="L917" t="s">
        <v>30</v>
      </c>
      <c r="M917" t="s">
        <v>36</v>
      </c>
      <c r="N917" s="1">
        <v>46186</v>
      </c>
      <c r="O917">
        <v>3184.74</v>
      </c>
    </row>
    <row r="918" spans="1:15" x14ac:dyDescent="0.3">
      <c r="A918" t="s">
        <v>969</v>
      </c>
      <c r="B918" s="1">
        <v>45994</v>
      </c>
      <c r="C918" t="s">
        <v>959</v>
      </c>
      <c r="D918" t="s">
        <v>49</v>
      </c>
      <c r="E918" t="s">
        <v>50</v>
      </c>
      <c r="F918" t="s">
        <v>19</v>
      </c>
      <c r="G918" t="s">
        <v>20</v>
      </c>
      <c r="H918" t="s">
        <v>45</v>
      </c>
      <c r="I918">
        <v>7</v>
      </c>
      <c r="J918">
        <v>541.86</v>
      </c>
      <c r="K918">
        <v>3793.02</v>
      </c>
      <c r="L918" t="s">
        <v>22</v>
      </c>
      <c r="M918" t="s">
        <v>22</v>
      </c>
      <c r="N918" s="1">
        <v>46203</v>
      </c>
      <c r="O918">
        <v>3793.02</v>
      </c>
    </row>
    <row r="919" spans="1:15" x14ac:dyDescent="0.3">
      <c r="A919" t="s">
        <v>970</v>
      </c>
      <c r="B919" s="1">
        <v>45995</v>
      </c>
      <c r="C919" t="s">
        <v>959</v>
      </c>
      <c r="D919" t="s">
        <v>49</v>
      </c>
      <c r="E919" t="s">
        <v>25</v>
      </c>
      <c r="F919" t="s">
        <v>38</v>
      </c>
      <c r="G919" t="s">
        <v>26</v>
      </c>
      <c r="H919" t="s">
        <v>34</v>
      </c>
      <c r="I919">
        <v>7</v>
      </c>
      <c r="J919">
        <v>494.58</v>
      </c>
      <c r="K919">
        <v>3462.06</v>
      </c>
      <c r="L919" t="s">
        <v>22</v>
      </c>
      <c r="M919" t="s">
        <v>22</v>
      </c>
      <c r="N919" s="1">
        <v>46203</v>
      </c>
      <c r="O919">
        <v>3462.06</v>
      </c>
    </row>
    <row r="920" spans="1:15" x14ac:dyDescent="0.3">
      <c r="A920" t="s">
        <v>971</v>
      </c>
      <c r="B920" s="1">
        <v>45995</v>
      </c>
      <c r="C920" t="s">
        <v>959</v>
      </c>
      <c r="D920" t="s">
        <v>17</v>
      </c>
      <c r="E920" t="s">
        <v>18</v>
      </c>
      <c r="F920" t="s">
        <v>29</v>
      </c>
      <c r="G920" t="s">
        <v>20</v>
      </c>
      <c r="H920" t="s">
        <v>40</v>
      </c>
      <c r="I920">
        <v>7</v>
      </c>
      <c r="J920">
        <v>1394.58</v>
      </c>
      <c r="K920">
        <v>9762.06</v>
      </c>
      <c r="L920" t="s">
        <v>22</v>
      </c>
      <c r="M920" t="s">
        <v>22</v>
      </c>
      <c r="N920" s="1">
        <v>46203</v>
      </c>
      <c r="O920">
        <v>9762.06</v>
      </c>
    </row>
    <row r="921" spans="1:15" x14ac:dyDescent="0.3">
      <c r="A921" t="s">
        <v>972</v>
      </c>
      <c r="B921" s="1">
        <v>45995</v>
      </c>
      <c r="C921" t="s">
        <v>959</v>
      </c>
      <c r="D921" t="s">
        <v>24</v>
      </c>
      <c r="E921" t="s">
        <v>50</v>
      </c>
      <c r="F921" t="s">
        <v>29</v>
      </c>
      <c r="G921" t="s">
        <v>20</v>
      </c>
      <c r="H921" t="s">
        <v>40</v>
      </c>
      <c r="I921">
        <v>1</v>
      </c>
      <c r="J921">
        <v>921.63</v>
      </c>
      <c r="K921">
        <v>921.63</v>
      </c>
      <c r="L921" t="s">
        <v>30</v>
      </c>
      <c r="M921" t="s">
        <v>80</v>
      </c>
      <c r="N921" s="1">
        <v>46031</v>
      </c>
      <c r="O921">
        <v>921.63</v>
      </c>
    </row>
    <row r="922" spans="1:15" x14ac:dyDescent="0.3">
      <c r="A922" t="s">
        <v>973</v>
      </c>
      <c r="B922" s="1">
        <v>45995</v>
      </c>
      <c r="C922" t="s">
        <v>959</v>
      </c>
      <c r="D922" t="s">
        <v>24</v>
      </c>
      <c r="E922" t="s">
        <v>25</v>
      </c>
      <c r="F922" t="s">
        <v>29</v>
      </c>
      <c r="G922" t="s">
        <v>26</v>
      </c>
      <c r="H922" t="s">
        <v>21</v>
      </c>
      <c r="I922">
        <v>7</v>
      </c>
      <c r="J922">
        <v>953.01</v>
      </c>
      <c r="K922">
        <v>6671.07</v>
      </c>
      <c r="L922" t="s">
        <v>22</v>
      </c>
      <c r="M922" t="s">
        <v>22</v>
      </c>
      <c r="N922" s="1">
        <v>46203</v>
      </c>
      <c r="O922">
        <v>6671.07</v>
      </c>
    </row>
    <row r="923" spans="1:15" x14ac:dyDescent="0.3">
      <c r="A923" t="s">
        <v>974</v>
      </c>
      <c r="B923" s="1">
        <v>45995</v>
      </c>
      <c r="C923" t="s">
        <v>959</v>
      </c>
      <c r="D923" t="s">
        <v>49</v>
      </c>
      <c r="E923" t="s">
        <v>25</v>
      </c>
      <c r="F923" t="s">
        <v>29</v>
      </c>
      <c r="G923" t="s">
        <v>39</v>
      </c>
      <c r="H923" t="s">
        <v>40</v>
      </c>
      <c r="I923">
        <v>7</v>
      </c>
      <c r="J923">
        <v>542.1</v>
      </c>
      <c r="K923">
        <v>3794.7</v>
      </c>
      <c r="L923" t="s">
        <v>22</v>
      </c>
      <c r="M923" t="s">
        <v>22</v>
      </c>
      <c r="N923" s="1">
        <v>46203</v>
      </c>
      <c r="O923">
        <v>3794.7</v>
      </c>
    </row>
    <row r="924" spans="1:15" x14ac:dyDescent="0.3">
      <c r="A924" t="s">
        <v>975</v>
      </c>
      <c r="B924" s="1">
        <v>45996</v>
      </c>
      <c r="C924" t="s">
        <v>959</v>
      </c>
      <c r="D924" t="s">
        <v>24</v>
      </c>
      <c r="E924" t="s">
        <v>25</v>
      </c>
      <c r="F924" t="s">
        <v>29</v>
      </c>
      <c r="G924" t="s">
        <v>39</v>
      </c>
      <c r="H924" t="s">
        <v>21</v>
      </c>
      <c r="I924">
        <v>7</v>
      </c>
      <c r="J924">
        <v>924.07</v>
      </c>
      <c r="K924">
        <v>6468.49</v>
      </c>
      <c r="L924" t="s">
        <v>22</v>
      </c>
      <c r="M924" t="s">
        <v>22</v>
      </c>
      <c r="N924" s="1">
        <v>46203</v>
      </c>
      <c r="O924">
        <v>6468.49</v>
      </c>
    </row>
    <row r="925" spans="1:15" x14ac:dyDescent="0.3">
      <c r="A925" t="s">
        <v>976</v>
      </c>
      <c r="B925" s="1">
        <v>45996</v>
      </c>
      <c r="C925" t="s">
        <v>959</v>
      </c>
      <c r="D925" t="s">
        <v>49</v>
      </c>
      <c r="E925" t="s">
        <v>28</v>
      </c>
      <c r="F925" t="s">
        <v>33</v>
      </c>
      <c r="G925" t="s">
        <v>20</v>
      </c>
      <c r="H925" t="s">
        <v>34</v>
      </c>
      <c r="I925">
        <v>7</v>
      </c>
      <c r="J925">
        <v>488.4</v>
      </c>
      <c r="K925">
        <v>3418.8</v>
      </c>
      <c r="L925" t="s">
        <v>22</v>
      </c>
      <c r="M925" t="s">
        <v>22</v>
      </c>
      <c r="N925" s="1">
        <v>46203</v>
      </c>
      <c r="O925">
        <v>3418.8</v>
      </c>
    </row>
    <row r="926" spans="1:15" x14ac:dyDescent="0.3">
      <c r="A926" t="s">
        <v>977</v>
      </c>
      <c r="B926" s="1">
        <v>45996</v>
      </c>
      <c r="C926" t="s">
        <v>959</v>
      </c>
      <c r="D926" t="s">
        <v>49</v>
      </c>
      <c r="E926" t="s">
        <v>28</v>
      </c>
      <c r="F926" t="s">
        <v>51</v>
      </c>
      <c r="G926" t="s">
        <v>39</v>
      </c>
      <c r="H926" t="s">
        <v>21</v>
      </c>
      <c r="I926">
        <v>7</v>
      </c>
      <c r="J926">
        <v>495.58</v>
      </c>
      <c r="K926">
        <v>3469.06</v>
      </c>
      <c r="L926" t="s">
        <v>22</v>
      </c>
      <c r="M926" t="s">
        <v>22</v>
      </c>
      <c r="N926" s="1">
        <v>46203</v>
      </c>
      <c r="O926">
        <v>3469.06</v>
      </c>
    </row>
    <row r="927" spans="1:15" x14ac:dyDescent="0.3">
      <c r="A927" t="s">
        <v>978</v>
      </c>
      <c r="B927" s="1">
        <v>45996</v>
      </c>
      <c r="C927" t="s">
        <v>959</v>
      </c>
      <c r="D927" t="s">
        <v>17</v>
      </c>
      <c r="E927" t="s">
        <v>18</v>
      </c>
      <c r="F927" t="s">
        <v>51</v>
      </c>
      <c r="G927" t="s">
        <v>39</v>
      </c>
      <c r="H927" t="s">
        <v>21</v>
      </c>
      <c r="I927">
        <v>7</v>
      </c>
      <c r="J927">
        <v>1607.3</v>
      </c>
      <c r="K927">
        <v>11251.1</v>
      </c>
      <c r="L927" t="s">
        <v>22</v>
      </c>
      <c r="M927" t="s">
        <v>22</v>
      </c>
      <c r="N927" s="1">
        <v>46203</v>
      </c>
      <c r="O927">
        <v>11251.1</v>
      </c>
    </row>
    <row r="928" spans="1:15" x14ac:dyDescent="0.3">
      <c r="A928" t="s">
        <v>979</v>
      </c>
      <c r="B928" s="1">
        <v>45996</v>
      </c>
      <c r="C928" t="s">
        <v>959</v>
      </c>
      <c r="D928" t="s">
        <v>24</v>
      </c>
      <c r="E928" t="s">
        <v>18</v>
      </c>
      <c r="F928" t="s">
        <v>19</v>
      </c>
      <c r="G928" t="s">
        <v>39</v>
      </c>
      <c r="H928" t="s">
        <v>34</v>
      </c>
      <c r="I928">
        <v>4</v>
      </c>
      <c r="J928">
        <v>930.2</v>
      </c>
      <c r="K928">
        <v>3720.8</v>
      </c>
      <c r="L928" t="s">
        <v>30</v>
      </c>
      <c r="M928" t="s">
        <v>80</v>
      </c>
      <c r="N928" s="1">
        <v>46130</v>
      </c>
      <c r="O928">
        <v>3720.8</v>
      </c>
    </row>
    <row r="929" spans="1:15" x14ac:dyDescent="0.3">
      <c r="A929" t="s">
        <v>980</v>
      </c>
      <c r="B929" s="1">
        <v>45997</v>
      </c>
      <c r="C929" t="s">
        <v>959</v>
      </c>
      <c r="D929" t="s">
        <v>17</v>
      </c>
      <c r="E929" t="s">
        <v>18</v>
      </c>
      <c r="F929" t="s">
        <v>19</v>
      </c>
      <c r="G929" t="s">
        <v>39</v>
      </c>
      <c r="H929" t="s">
        <v>21</v>
      </c>
      <c r="I929">
        <v>7</v>
      </c>
      <c r="J929">
        <v>1407.51</v>
      </c>
      <c r="K929">
        <v>9852.57</v>
      </c>
      <c r="L929" t="s">
        <v>22</v>
      </c>
      <c r="M929" t="s">
        <v>22</v>
      </c>
      <c r="N929" s="1">
        <v>46203</v>
      </c>
      <c r="O929">
        <v>9852.57</v>
      </c>
    </row>
    <row r="930" spans="1:15" x14ac:dyDescent="0.3">
      <c r="A930" t="s">
        <v>981</v>
      </c>
      <c r="B930" s="1">
        <v>45997</v>
      </c>
      <c r="C930" t="s">
        <v>959</v>
      </c>
      <c r="D930" t="s">
        <v>49</v>
      </c>
      <c r="E930" t="s">
        <v>28</v>
      </c>
      <c r="F930" t="s">
        <v>38</v>
      </c>
      <c r="G930" t="s">
        <v>39</v>
      </c>
      <c r="H930" t="s">
        <v>40</v>
      </c>
      <c r="I930">
        <v>1</v>
      </c>
      <c r="J930">
        <v>470.65</v>
      </c>
      <c r="K930">
        <v>470.65</v>
      </c>
      <c r="L930" t="s">
        <v>30</v>
      </c>
      <c r="M930" t="s">
        <v>80</v>
      </c>
      <c r="N930" s="1">
        <v>46028</v>
      </c>
      <c r="O930">
        <v>470.65</v>
      </c>
    </row>
    <row r="931" spans="1:15" x14ac:dyDescent="0.3">
      <c r="A931" t="s">
        <v>982</v>
      </c>
      <c r="B931" s="1">
        <v>45998</v>
      </c>
      <c r="C931" t="s">
        <v>959</v>
      </c>
      <c r="D931" t="s">
        <v>24</v>
      </c>
      <c r="E931" t="s">
        <v>25</v>
      </c>
      <c r="F931" t="s">
        <v>38</v>
      </c>
      <c r="G931" t="s">
        <v>26</v>
      </c>
      <c r="H931" t="s">
        <v>21</v>
      </c>
      <c r="I931">
        <v>5</v>
      </c>
      <c r="J931">
        <v>828.56</v>
      </c>
      <c r="K931">
        <v>4142.8</v>
      </c>
      <c r="L931" t="s">
        <v>30</v>
      </c>
      <c r="M931" t="s">
        <v>41</v>
      </c>
      <c r="N931" s="1">
        <v>46139</v>
      </c>
      <c r="O931">
        <v>4142.8</v>
      </c>
    </row>
    <row r="932" spans="1:15" x14ac:dyDescent="0.3">
      <c r="A932" t="s">
        <v>983</v>
      </c>
      <c r="B932" s="1">
        <v>45998</v>
      </c>
      <c r="C932" t="s">
        <v>959</v>
      </c>
      <c r="D932" t="s">
        <v>49</v>
      </c>
      <c r="E932" t="s">
        <v>28</v>
      </c>
      <c r="F932" t="s">
        <v>29</v>
      </c>
      <c r="G932" t="s">
        <v>39</v>
      </c>
      <c r="H932" t="s">
        <v>40</v>
      </c>
      <c r="I932">
        <v>7</v>
      </c>
      <c r="J932">
        <v>528.86</v>
      </c>
      <c r="K932">
        <v>3702.02</v>
      </c>
      <c r="L932" t="s">
        <v>22</v>
      </c>
      <c r="M932" t="s">
        <v>22</v>
      </c>
      <c r="N932" s="1">
        <v>46203</v>
      </c>
      <c r="O932">
        <v>3702.02</v>
      </c>
    </row>
    <row r="933" spans="1:15" x14ac:dyDescent="0.3">
      <c r="A933" t="s">
        <v>984</v>
      </c>
      <c r="B933" s="1">
        <v>45999</v>
      </c>
      <c r="C933" t="s">
        <v>959</v>
      </c>
      <c r="D933" t="s">
        <v>49</v>
      </c>
      <c r="E933" t="s">
        <v>50</v>
      </c>
      <c r="F933" t="s">
        <v>19</v>
      </c>
      <c r="G933" t="s">
        <v>20</v>
      </c>
      <c r="H933" t="s">
        <v>40</v>
      </c>
      <c r="I933">
        <v>7</v>
      </c>
      <c r="J933">
        <v>492.09</v>
      </c>
      <c r="K933">
        <v>3444.63</v>
      </c>
      <c r="L933" t="s">
        <v>22</v>
      </c>
      <c r="M933" t="s">
        <v>22</v>
      </c>
      <c r="N933" s="1">
        <v>46203</v>
      </c>
      <c r="O933">
        <v>3444.63</v>
      </c>
    </row>
    <row r="934" spans="1:15" x14ac:dyDescent="0.3">
      <c r="A934" t="s">
        <v>985</v>
      </c>
      <c r="B934" s="1">
        <v>45999</v>
      </c>
      <c r="C934" t="s">
        <v>959</v>
      </c>
      <c r="D934" t="s">
        <v>17</v>
      </c>
      <c r="E934" t="s">
        <v>25</v>
      </c>
      <c r="F934" t="s">
        <v>19</v>
      </c>
      <c r="G934" t="s">
        <v>20</v>
      </c>
      <c r="H934" t="s">
        <v>45</v>
      </c>
      <c r="I934">
        <v>3</v>
      </c>
      <c r="J934">
        <v>1560.29</v>
      </c>
      <c r="K934">
        <v>4680.87</v>
      </c>
      <c r="L934" t="s">
        <v>30</v>
      </c>
      <c r="M934" t="s">
        <v>36</v>
      </c>
      <c r="N934" s="1">
        <v>46090</v>
      </c>
      <c r="O934">
        <v>4680.87</v>
      </c>
    </row>
    <row r="935" spans="1:15" x14ac:dyDescent="0.3">
      <c r="A935" t="s">
        <v>986</v>
      </c>
      <c r="B935" s="1">
        <v>45999</v>
      </c>
      <c r="C935" t="s">
        <v>959</v>
      </c>
      <c r="D935" t="s">
        <v>24</v>
      </c>
      <c r="E935" t="s">
        <v>28</v>
      </c>
      <c r="F935" t="s">
        <v>33</v>
      </c>
      <c r="G935" t="s">
        <v>20</v>
      </c>
      <c r="H935" t="s">
        <v>40</v>
      </c>
      <c r="I935">
        <v>7</v>
      </c>
      <c r="J935">
        <v>848.56</v>
      </c>
      <c r="K935">
        <v>5939.92</v>
      </c>
      <c r="L935" t="s">
        <v>22</v>
      </c>
      <c r="M935" t="s">
        <v>22</v>
      </c>
      <c r="N935" s="1">
        <v>46203</v>
      </c>
      <c r="O935">
        <v>5939.92</v>
      </c>
    </row>
    <row r="936" spans="1:15" x14ac:dyDescent="0.3">
      <c r="A936" t="s">
        <v>987</v>
      </c>
      <c r="B936" s="1">
        <v>45999</v>
      </c>
      <c r="C936" t="s">
        <v>959</v>
      </c>
      <c r="D936" t="s">
        <v>49</v>
      </c>
      <c r="E936" t="s">
        <v>18</v>
      </c>
      <c r="F936" t="s">
        <v>51</v>
      </c>
      <c r="G936" t="s">
        <v>39</v>
      </c>
      <c r="H936" t="s">
        <v>34</v>
      </c>
      <c r="I936">
        <v>7</v>
      </c>
      <c r="J936">
        <v>478.27</v>
      </c>
      <c r="K936">
        <v>3347.89</v>
      </c>
      <c r="L936" t="s">
        <v>22</v>
      </c>
      <c r="M936" t="s">
        <v>22</v>
      </c>
      <c r="N936" s="1">
        <v>46203</v>
      </c>
      <c r="O936">
        <v>3347.89</v>
      </c>
    </row>
    <row r="937" spans="1:15" x14ac:dyDescent="0.3">
      <c r="A937" t="s">
        <v>988</v>
      </c>
      <c r="B937" s="1">
        <v>45999</v>
      </c>
      <c r="C937" t="s">
        <v>959</v>
      </c>
      <c r="D937" t="s">
        <v>24</v>
      </c>
      <c r="E937" t="s">
        <v>28</v>
      </c>
      <c r="F937" t="s">
        <v>33</v>
      </c>
      <c r="G937" t="s">
        <v>26</v>
      </c>
      <c r="H937" t="s">
        <v>40</v>
      </c>
      <c r="I937">
        <v>7</v>
      </c>
      <c r="J937">
        <v>849.29</v>
      </c>
      <c r="K937">
        <v>5945.03</v>
      </c>
      <c r="L937" t="s">
        <v>22</v>
      </c>
      <c r="M937" t="s">
        <v>22</v>
      </c>
      <c r="N937" s="1">
        <v>46203</v>
      </c>
      <c r="O937">
        <v>5945.03</v>
      </c>
    </row>
    <row r="938" spans="1:15" x14ac:dyDescent="0.3">
      <c r="A938" t="s">
        <v>989</v>
      </c>
      <c r="B938" s="1">
        <v>45999</v>
      </c>
      <c r="C938" t="s">
        <v>959</v>
      </c>
      <c r="D938" t="s">
        <v>24</v>
      </c>
      <c r="E938" t="s">
        <v>28</v>
      </c>
      <c r="F938" t="s">
        <v>19</v>
      </c>
      <c r="G938" t="s">
        <v>39</v>
      </c>
      <c r="H938" t="s">
        <v>34</v>
      </c>
      <c r="I938">
        <v>7</v>
      </c>
      <c r="J938">
        <v>873.29</v>
      </c>
      <c r="K938">
        <v>6113.03</v>
      </c>
      <c r="L938" t="s">
        <v>22</v>
      </c>
      <c r="M938" t="s">
        <v>22</v>
      </c>
      <c r="N938" s="1">
        <v>46203</v>
      </c>
      <c r="O938">
        <v>6113.03</v>
      </c>
    </row>
    <row r="939" spans="1:15" x14ac:dyDescent="0.3">
      <c r="A939" t="s">
        <v>990</v>
      </c>
      <c r="B939" s="1">
        <v>46000</v>
      </c>
      <c r="C939" t="s">
        <v>959</v>
      </c>
      <c r="D939" t="s">
        <v>24</v>
      </c>
      <c r="E939" t="s">
        <v>28</v>
      </c>
      <c r="F939" t="s">
        <v>29</v>
      </c>
      <c r="G939" t="s">
        <v>20</v>
      </c>
      <c r="H939" t="s">
        <v>40</v>
      </c>
      <c r="I939">
        <v>4</v>
      </c>
      <c r="J939">
        <v>872.16</v>
      </c>
      <c r="K939">
        <v>3488.64</v>
      </c>
      <c r="L939" t="s">
        <v>30</v>
      </c>
      <c r="M939" t="s">
        <v>43</v>
      </c>
      <c r="N939" s="1">
        <v>46119</v>
      </c>
      <c r="O939">
        <v>3488.64</v>
      </c>
    </row>
    <row r="940" spans="1:15" x14ac:dyDescent="0.3">
      <c r="A940" t="s">
        <v>991</v>
      </c>
      <c r="B940" s="1">
        <v>46000</v>
      </c>
      <c r="C940" t="s">
        <v>959</v>
      </c>
      <c r="D940" t="s">
        <v>49</v>
      </c>
      <c r="E940" t="s">
        <v>18</v>
      </c>
      <c r="F940" t="s">
        <v>38</v>
      </c>
      <c r="G940" t="s">
        <v>20</v>
      </c>
      <c r="H940" t="s">
        <v>45</v>
      </c>
      <c r="I940">
        <v>7</v>
      </c>
      <c r="J940">
        <v>535.67999999999995</v>
      </c>
      <c r="K940">
        <v>3749.76</v>
      </c>
      <c r="L940" t="s">
        <v>22</v>
      </c>
      <c r="M940" t="s">
        <v>22</v>
      </c>
      <c r="N940" s="1">
        <v>46203</v>
      </c>
      <c r="O940">
        <v>3749.76</v>
      </c>
    </row>
    <row r="941" spans="1:15" x14ac:dyDescent="0.3">
      <c r="A941" t="s">
        <v>992</v>
      </c>
      <c r="B941" s="1">
        <v>46000</v>
      </c>
      <c r="C941" t="s">
        <v>959</v>
      </c>
      <c r="D941" t="s">
        <v>24</v>
      </c>
      <c r="E941" t="s">
        <v>18</v>
      </c>
      <c r="F941" t="s">
        <v>19</v>
      </c>
      <c r="G941" t="s">
        <v>26</v>
      </c>
      <c r="H941" t="s">
        <v>45</v>
      </c>
      <c r="I941">
        <v>7</v>
      </c>
      <c r="J941">
        <v>941.71</v>
      </c>
      <c r="K941">
        <v>6591.97</v>
      </c>
      <c r="L941" t="s">
        <v>22</v>
      </c>
      <c r="M941" t="s">
        <v>22</v>
      </c>
      <c r="N941" s="1">
        <v>46203</v>
      </c>
      <c r="O941">
        <v>6591.97</v>
      </c>
    </row>
    <row r="942" spans="1:15" x14ac:dyDescent="0.3">
      <c r="A942" t="s">
        <v>993</v>
      </c>
      <c r="B942" s="1">
        <v>46001</v>
      </c>
      <c r="C942" t="s">
        <v>959</v>
      </c>
      <c r="D942" t="s">
        <v>17</v>
      </c>
      <c r="E942" t="s">
        <v>50</v>
      </c>
      <c r="F942" t="s">
        <v>19</v>
      </c>
      <c r="G942" t="s">
        <v>39</v>
      </c>
      <c r="H942" t="s">
        <v>21</v>
      </c>
      <c r="I942">
        <v>7</v>
      </c>
      <c r="J942">
        <v>1465.58</v>
      </c>
      <c r="K942">
        <v>10259.06</v>
      </c>
      <c r="L942" t="s">
        <v>22</v>
      </c>
      <c r="M942" t="s">
        <v>22</v>
      </c>
      <c r="N942" s="1">
        <v>46203</v>
      </c>
      <c r="O942">
        <v>10259.06</v>
      </c>
    </row>
    <row r="943" spans="1:15" x14ac:dyDescent="0.3">
      <c r="A943" t="s">
        <v>994</v>
      </c>
      <c r="B943" s="1">
        <v>46001</v>
      </c>
      <c r="C943" t="s">
        <v>959</v>
      </c>
      <c r="D943" t="s">
        <v>24</v>
      </c>
      <c r="E943" t="s">
        <v>50</v>
      </c>
      <c r="F943" t="s">
        <v>33</v>
      </c>
      <c r="G943" t="s">
        <v>20</v>
      </c>
      <c r="H943" t="s">
        <v>34</v>
      </c>
      <c r="I943">
        <v>7</v>
      </c>
      <c r="J943">
        <v>934.64</v>
      </c>
      <c r="K943">
        <v>6542.48</v>
      </c>
      <c r="L943" t="s">
        <v>22</v>
      </c>
      <c r="M943" t="s">
        <v>22</v>
      </c>
      <c r="N943" s="1">
        <v>46203</v>
      </c>
      <c r="O943">
        <v>6542.48</v>
      </c>
    </row>
    <row r="944" spans="1:15" x14ac:dyDescent="0.3">
      <c r="A944" t="s">
        <v>995</v>
      </c>
      <c r="B944" s="1">
        <v>46003</v>
      </c>
      <c r="C944" t="s">
        <v>959</v>
      </c>
      <c r="D944" t="s">
        <v>17</v>
      </c>
      <c r="E944" t="s">
        <v>25</v>
      </c>
      <c r="F944" t="s">
        <v>19</v>
      </c>
      <c r="G944" t="s">
        <v>20</v>
      </c>
      <c r="H944" t="s">
        <v>34</v>
      </c>
      <c r="I944">
        <v>7</v>
      </c>
      <c r="J944">
        <v>1494.79</v>
      </c>
      <c r="K944">
        <v>10463.530000000001</v>
      </c>
      <c r="L944" t="s">
        <v>22</v>
      </c>
      <c r="M944" t="s">
        <v>22</v>
      </c>
      <c r="N944" s="1">
        <v>46203</v>
      </c>
      <c r="O944">
        <v>10463.530000000001</v>
      </c>
    </row>
    <row r="945" spans="1:15" x14ac:dyDescent="0.3">
      <c r="A945" t="s">
        <v>996</v>
      </c>
      <c r="B945" s="1">
        <v>46003</v>
      </c>
      <c r="C945" t="s">
        <v>959</v>
      </c>
      <c r="D945" t="s">
        <v>24</v>
      </c>
      <c r="E945" t="s">
        <v>28</v>
      </c>
      <c r="F945" t="s">
        <v>29</v>
      </c>
      <c r="G945" t="s">
        <v>39</v>
      </c>
      <c r="H945" t="s">
        <v>40</v>
      </c>
      <c r="I945">
        <v>7</v>
      </c>
      <c r="J945">
        <v>932.03</v>
      </c>
      <c r="K945">
        <v>6524.21</v>
      </c>
      <c r="L945" t="s">
        <v>22</v>
      </c>
      <c r="M945" t="s">
        <v>22</v>
      </c>
      <c r="N945" s="1">
        <v>46203</v>
      </c>
      <c r="O945">
        <v>6524.21</v>
      </c>
    </row>
    <row r="946" spans="1:15" x14ac:dyDescent="0.3">
      <c r="A946" t="s">
        <v>997</v>
      </c>
      <c r="B946" s="1">
        <v>46003</v>
      </c>
      <c r="C946" t="s">
        <v>959</v>
      </c>
      <c r="D946" t="s">
        <v>17</v>
      </c>
      <c r="E946" t="s">
        <v>28</v>
      </c>
      <c r="F946" t="s">
        <v>19</v>
      </c>
      <c r="G946" t="s">
        <v>20</v>
      </c>
      <c r="H946" t="s">
        <v>40</v>
      </c>
      <c r="I946">
        <v>7</v>
      </c>
      <c r="J946">
        <v>1584.5</v>
      </c>
      <c r="K946">
        <v>11091.5</v>
      </c>
      <c r="L946" t="s">
        <v>22</v>
      </c>
      <c r="M946" t="s">
        <v>22</v>
      </c>
      <c r="N946" s="1">
        <v>46203</v>
      </c>
      <c r="O946">
        <v>11091.5</v>
      </c>
    </row>
    <row r="947" spans="1:15" x14ac:dyDescent="0.3">
      <c r="A947" t="s">
        <v>998</v>
      </c>
      <c r="B947" s="1">
        <v>46003</v>
      </c>
      <c r="C947" t="s">
        <v>959</v>
      </c>
      <c r="D947" t="s">
        <v>24</v>
      </c>
      <c r="E947" t="s">
        <v>18</v>
      </c>
      <c r="F947" t="s">
        <v>19</v>
      </c>
      <c r="G947" t="s">
        <v>39</v>
      </c>
      <c r="H947" t="s">
        <v>40</v>
      </c>
      <c r="I947">
        <v>4</v>
      </c>
      <c r="J947">
        <v>813.15</v>
      </c>
      <c r="K947">
        <v>3252.6</v>
      </c>
      <c r="L947" t="s">
        <v>30</v>
      </c>
      <c r="M947" t="s">
        <v>31</v>
      </c>
      <c r="N947" s="1">
        <v>46130</v>
      </c>
      <c r="O947">
        <v>3252.6</v>
      </c>
    </row>
    <row r="948" spans="1:15" x14ac:dyDescent="0.3">
      <c r="A948" t="s">
        <v>999</v>
      </c>
      <c r="B948" s="1">
        <v>46004</v>
      </c>
      <c r="C948" t="s">
        <v>959</v>
      </c>
      <c r="D948" t="s">
        <v>24</v>
      </c>
      <c r="E948" t="s">
        <v>25</v>
      </c>
      <c r="F948" t="s">
        <v>38</v>
      </c>
      <c r="G948" t="s">
        <v>39</v>
      </c>
      <c r="H948" t="s">
        <v>21</v>
      </c>
      <c r="I948">
        <v>7</v>
      </c>
      <c r="J948">
        <v>909.06</v>
      </c>
      <c r="K948">
        <v>6363.42</v>
      </c>
      <c r="L948" t="s">
        <v>22</v>
      </c>
      <c r="M948" t="s">
        <v>22</v>
      </c>
      <c r="N948" s="1">
        <v>46203</v>
      </c>
      <c r="O948">
        <v>6363.42</v>
      </c>
    </row>
    <row r="949" spans="1:15" x14ac:dyDescent="0.3">
      <c r="A949" t="s">
        <v>1000</v>
      </c>
      <c r="B949" s="1">
        <v>46004</v>
      </c>
      <c r="C949" t="s">
        <v>959</v>
      </c>
      <c r="D949" t="s">
        <v>24</v>
      </c>
      <c r="E949" t="s">
        <v>18</v>
      </c>
      <c r="F949" t="s">
        <v>29</v>
      </c>
      <c r="G949" t="s">
        <v>20</v>
      </c>
      <c r="H949" t="s">
        <v>34</v>
      </c>
      <c r="I949">
        <v>3</v>
      </c>
      <c r="J949">
        <v>889.12</v>
      </c>
      <c r="K949">
        <v>2667.36</v>
      </c>
      <c r="L949" t="s">
        <v>30</v>
      </c>
      <c r="M949" t="s">
        <v>43</v>
      </c>
      <c r="N949" s="1">
        <v>46108</v>
      </c>
      <c r="O949">
        <v>2667.36</v>
      </c>
    </row>
    <row r="950" spans="1:15" x14ac:dyDescent="0.3">
      <c r="A950" t="s">
        <v>1001</v>
      </c>
      <c r="B950" s="1">
        <v>46004</v>
      </c>
      <c r="C950" t="s">
        <v>959</v>
      </c>
      <c r="D950" t="s">
        <v>17</v>
      </c>
      <c r="E950" t="s">
        <v>50</v>
      </c>
      <c r="F950" t="s">
        <v>33</v>
      </c>
      <c r="G950" t="s">
        <v>39</v>
      </c>
      <c r="H950" t="s">
        <v>21</v>
      </c>
      <c r="I950">
        <v>7</v>
      </c>
      <c r="J950">
        <v>1624.49</v>
      </c>
      <c r="K950">
        <v>11371.43</v>
      </c>
      <c r="L950" t="s">
        <v>22</v>
      </c>
      <c r="M950" t="s">
        <v>22</v>
      </c>
      <c r="N950" s="1">
        <v>46203</v>
      </c>
      <c r="O950">
        <v>11371.43</v>
      </c>
    </row>
    <row r="951" spans="1:15" x14ac:dyDescent="0.3">
      <c r="A951" t="s">
        <v>1002</v>
      </c>
      <c r="B951" s="1">
        <v>46004</v>
      </c>
      <c r="C951" t="s">
        <v>959</v>
      </c>
      <c r="D951" t="s">
        <v>49</v>
      </c>
      <c r="E951" t="s">
        <v>28</v>
      </c>
      <c r="F951" t="s">
        <v>33</v>
      </c>
      <c r="G951" t="s">
        <v>39</v>
      </c>
      <c r="H951" t="s">
        <v>21</v>
      </c>
      <c r="I951">
        <v>7</v>
      </c>
      <c r="J951">
        <v>454.52</v>
      </c>
      <c r="K951">
        <v>3181.64</v>
      </c>
      <c r="L951" t="s">
        <v>22</v>
      </c>
      <c r="M951" t="s">
        <v>22</v>
      </c>
      <c r="N951" s="1">
        <v>46203</v>
      </c>
      <c r="O951">
        <v>3181.64</v>
      </c>
    </row>
    <row r="952" spans="1:15" x14ac:dyDescent="0.3">
      <c r="A952" t="s">
        <v>1003</v>
      </c>
      <c r="B952" s="1">
        <v>46005</v>
      </c>
      <c r="C952" t="s">
        <v>959</v>
      </c>
      <c r="D952" t="s">
        <v>24</v>
      </c>
      <c r="E952" t="s">
        <v>18</v>
      </c>
      <c r="F952" t="s">
        <v>33</v>
      </c>
      <c r="G952" t="s">
        <v>39</v>
      </c>
      <c r="H952" t="s">
        <v>21</v>
      </c>
      <c r="I952">
        <v>7</v>
      </c>
      <c r="J952">
        <v>844.78</v>
      </c>
      <c r="K952">
        <v>5913.46</v>
      </c>
      <c r="L952" t="s">
        <v>22</v>
      </c>
      <c r="M952" t="s">
        <v>22</v>
      </c>
      <c r="N952" s="1">
        <v>46203</v>
      </c>
      <c r="O952">
        <v>5913.46</v>
      </c>
    </row>
    <row r="953" spans="1:15" x14ac:dyDescent="0.3">
      <c r="A953" t="s">
        <v>1004</v>
      </c>
      <c r="B953" s="1">
        <v>46005</v>
      </c>
      <c r="C953" t="s">
        <v>959</v>
      </c>
      <c r="D953" t="s">
        <v>24</v>
      </c>
      <c r="E953" t="s">
        <v>28</v>
      </c>
      <c r="F953" t="s">
        <v>51</v>
      </c>
      <c r="G953" t="s">
        <v>26</v>
      </c>
      <c r="H953" t="s">
        <v>34</v>
      </c>
      <c r="I953">
        <v>7</v>
      </c>
      <c r="J953">
        <v>985.48</v>
      </c>
      <c r="K953">
        <v>6898.36</v>
      </c>
      <c r="L953" t="s">
        <v>22</v>
      </c>
      <c r="M953" t="s">
        <v>22</v>
      </c>
      <c r="N953" s="1">
        <v>46203</v>
      </c>
      <c r="O953">
        <v>6898.36</v>
      </c>
    </row>
    <row r="954" spans="1:15" x14ac:dyDescent="0.3">
      <c r="A954" t="s">
        <v>1005</v>
      </c>
      <c r="B954" s="1">
        <v>46005</v>
      </c>
      <c r="C954" t="s">
        <v>959</v>
      </c>
      <c r="D954" t="s">
        <v>49</v>
      </c>
      <c r="E954" t="s">
        <v>25</v>
      </c>
      <c r="F954" t="s">
        <v>38</v>
      </c>
      <c r="G954" t="s">
        <v>39</v>
      </c>
      <c r="H954" t="s">
        <v>34</v>
      </c>
      <c r="I954">
        <v>7</v>
      </c>
      <c r="J954">
        <v>521.66999999999996</v>
      </c>
      <c r="K954">
        <v>3651.69</v>
      </c>
      <c r="L954" t="s">
        <v>22</v>
      </c>
      <c r="M954" t="s">
        <v>22</v>
      </c>
      <c r="N954" s="1">
        <v>46203</v>
      </c>
      <c r="O954">
        <v>3651.69</v>
      </c>
    </row>
    <row r="955" spans="1:15" x14ac:dyDescent="0.3">
      <c r="A955" t="s">
        <v>1006</v>
      </c>
      <c r="B955" s="1">
        <v>46006</v>
      </c>
      <c r="C955" t="s">
        <v>959</v>
      </c>
      <c r="D955" t="s">
        <v>17</v>
      </c>
      <c r="E955" t="s">
        <v>50</v>
      </c>
      <c r="F955" t="s">
        <v>38</v>
      </c>
      <c r="G955" t="s">
        <v>39</v>
      </c>
      <c r="H955" t="s">
        <v>34</v>
      </c>
      <c r="I955">
        <v>6</v>
      </c>
      <c r="J955">
        <v>1549.2</v>
      </c>
      <c r="K955">
        <v>9295.2000000000007</v>
      </c>
      <c r="L955" t="s">
        <v>22</v>
      </c>
      <c r="M955" t="s">
        <v>22</v>
      </c>
      <c r="N955" s="1">
        <v>46203</v>
      </c>
      <c r="O955">
        <v>9295.2000000000007</v>
      </c>
    </row>
    <row r="956" spans="1:15" x14ac:dyDescent="0.3">
      <c r="A956" t="s">
        <v>1007</v>
      </c>
      <c r="B956" s="1">
        <v>46006</v>
      </c>
      <c r="C956" t="s">
        <v>959</v>
      </c>
      <c r="D956" t="s">
        <v>49</v>
      </c>
      <c r="E956" t="s">
        <v>25</v>
      </c>
      <c r="F956" t="s">
        <v>38</v>
      </c>
      <c r="G956" t="s">
        <v>39</v>
      </c>
      <c r="H956" t="s">
        <v>21</v>
      </c>
      <c r="I956">
        <v>6</v>
      </c>
      <c r="J956">
        <v>462.32</v>
      </c>
      <c r="K956">
        <v>2773.92</v>
      </c>
      <c r="L956" t="s">
        <v>22</v>
      </c>
      <c r="M956" t="s">
        <v>22</v>
      </c>
      <c r="N956" s="1">
        <v>46203</v>
      </c>
      <c r="O956">
        <v>2773.92</v>
      </c>
    </row>
    <row r="957" spans="1:15" x14ac:dyDescent="0.3">
      <c r="A957" t="s">
        <v>1008</v>
      </c>
      <c r="B957" s="1">
        <v>46007</v>
      </c>
      <c r="C957" t="s">
        <v>959</v>
      </c>
      <c r="D957" t="s">
        <v>17</v>
      </c>
      <c r="E957" t="s">
        <v>50</v>
      </c>
      <c r="F957" t="s">
        <v>33</v>
      </c>
      <c r="G957" t="s">
        <v>20</v>
      </c>
      <c r="H957" t="s">
        <v>40</v>
      </c>
      <c r="I957">
        <v>6</v>
      </c>
      <c r="J957">
        <v>1507.1</v>
      </c>
      <c r="K957">
        <v>9042.6</v>
      </c>
      <c r="L957" t="s">
        <v>22</v>
      </c>
      <c r="M957" t="s">
        <v>22</v>
      </c>
      <c r="N957" s="1">
        <v>46203</v>
      </c>
      <c r="O957">
        <v>9042.6</v>
      </c>
    </row>
    <row r="958" spans="1:15" x14ac:dyDescent="0.3">
      <c r="A958" t="s">
        <v>1009</v>
      </c>
      <c r="B958" s="1">
        <v>46007</v>
      </c>
      <c r="C958" t="s">
        <v>959</v>
      </c>
      <c r="D958" t="s">
        <v>49</v>
      </c>
      <c r="E958" t="s">
        <v>25</v>
      </c>
      <c r="F958" t="s">
        <v>29</v>
      </c>
      <c r="G958" t="s">
        <v>39</v>
      </c>
      <c r="H958" t="s">
        <v>34</v>
      </c>
      <c r="I958">
        <v>6</v>
      </c>
      <c r="J958">
        <v>515.02</v>
      </c>
      <c r="K958">
        <v>3090.12</v>
      </c>
      <c r="L958" t="s">
        <v>22</v>
      </c>
      <c r="M958" t="s">
        <v>22</v>
      </c>
      <c r="N958" s="1">
        <v>46203</v>
      </c>
      <c r="O958">
        <v>3090.12</v>
      </c>
    </row>
    <row r="959" spans="1:15" x14ac:dyDescent="0.3">
      <c r="A959" t="s">
        <v>1010</v>
      </c>
      <c r="B959" s="1">
        <v>46008</v>
      </c>
      <c r="C959" t="s">
        <v>959</v>
      </c>
      <c r="D959" t="s">
        <v>24</v>
      </c>
      <c r="E959" t="s">
        <v>18</v>
      </c>
      <c r="F959" t="s">
        <v>38</v>
      </c>
      <c r="G959" t="s">
        <v>39</v>
      </c>
      <c r="H959" t="s">
        <v>45</v>
      </c>
      <c r="I959">
        <v>6</v>
      </c>
      <c r="J959">
        <v>974.23</v>
      </c>
      <c r="K959">
        <v>5845.38</v>
      </c>
      <c r="L959" t="s">
        <v>22</v>
      </c>
      <c r="M959" t="s">
        <v>22</v>
      </c>
      <c r="N959" s="1">
        <v>46203</v>
      </c>
      <c r="O959">
        <v>5845.38</v>
      </c>
    </row>
    <row r="960" spans="1:15" x14ac:dyDescent="0.3">
      <c r="A960" t="s">
        <v>1011</v>
      </c>
      <c r="B960" s="1">
        <v>46008</v>
      </c>
      <c r="C960" t="s">
        <v>959</v>
      </c>
      <c r="D960" t="s">
        <v>17</v>
      </c>
      <c r="E960" t="s">
        <v>18</v>
      </c>
      <c r="F960" t="s">
        <v>38</v>
      </c>
      <c r="G960" t="s">
        <v>20</v>
      </c>
      <c r="H960" t="s">
        <v>21</v>
      </c>
      <c r="I960">
        <v>6</v>
      </c>
      <c r="J960">
        <v>1573.79</v>
      </c>
      <c r="K960">
        <v>9442.74</v>
      </c>
      <c r="L960" t="s">
        <v>22</v>
      </c>
      <c r="M960" t="s">
        <v>22</v>
      </c>
      <c r="N960" s="1">
        <v>46203</v>
      </c>
      <c r="O960">
        <v>9442.74</v>
      </c>
    </row>
    <row r="961" spans="1:15" x14ac:dyDescent="0.3">
      <c r="A961" t="s">
        <v>1012</v>
      </c>
      <c r="B961" s="1">
        <v>46008</v>
      </c>
      <c r="C961" t="s">
        <v>959</v>
      </c>
      <c r="D961" t="s">
        <v>24</v>
      </c>
      <c r="E961" t="s">
        <v>50</v>
      </c>
      <c r="F961" t="s">
        <v>33</v>
      </c>
      <c r="G961" t="s">
        <v>39</v>
      </c>
      <c r="H961" t="s">
        <v>21</v>
      </c>
      <c r="I961">
        <v>6</v>
      </c>
      <c r="J961">
        <v>871.5</v>
      </c>
      <c r="K961">
        <v>5229</v>
      </c>
      <c r="L961" t="s">
        <v>22</v>
      </c>
      <c r="M961" t="s">
        <v>22</v>
      </c>
      <c r="N961" s="1">
        <v>46203</v>
      </c>
      <c r="O961">
        <v>5229</v>
      </c>
    </row>
    <row r="962" spans="1:15" x14ac:dyDescent="0.3">
      <c r="A962" t="s">
        <v>1013</v>
      </c>
      <c r="B962" s="1">
        <v>46008</v>
      </c>
      <c r="C962" t="s">
        <v>959</v>
      </c>
      <c r="D962" t="s">
        <v>49</v>
      </c>
      <c r="E962" t="s">
        <v>28</v>
      </c>
      <c r="F962" t="s">
        <v>51</v>
      </c>
      <c r="G962" t="s">
        <v>39</v>
      </c>
      <c r="H962" t="s">
        <v>40</v>
      </c>
      <c r="I962">
        <v>6</v>
      </c>
      <c r="J962">
        <v>532.26</v>
      </c>
      <c r="K962">
        <v>3193.56</v>
      </c>
      <c r="L962" t="s">
        <v>22</v>
      </c>
      <c r="M962" t="s">
        <v>22</v>
      </c>
      <c r="N962" s="1">
        <v>46203</v>
      </c>
      <c r="O962">
        <v>3193.56</v>
      </c>
    </row>
    <row r="963" spans="1:15" x14ac:dyDescent="0.3">
      <c r="A963" t="s">
        <v>1014</v>
      </c>
      <c r="B963" s="1">
        <v>46008</v>
      </c>
      <c r="C963" t="s">
        <v>959</v>
      </c>
      <c r="D963" t="s">
        <v>49</v>
      </c>
      <c r="E963" t="s">
        <v>28</v>
      </c>
      <c r="F963" t="s">
        <v>29</v>
      </c>
      <c r="G963" t="s">
        <v>39</v>
      </c>
      <c r="H963" t="s">
        <v>21</v>
      </c>
      <c r="I963">
        <v>4</v>
      </c>
      <c r="J963">
        <v>461.12</v>
      </c>
      <c r="K963">
        <v>1844.48</v>
      </c>
      <c r="L963" t="s">
        <v>30</v>
      </c>
      <c r="M963" t="s">
        <v>41</v>
      </c>
      <c r="N963" s="1">
        <v>46131</v>
      </c>
      <c r="O963">
        <v>1844.48</v>
      </c>
    </row>
    <row r="964" spans="1:15" x14ac:dyDescent="0.3">
      <c r="A964" t="s">
        <v>1015</v>
      </c>
      <c r="B964" s="1">
        <v>46008</v>
      </c>
      <c r="C964" t="s">
        <v>959</v>
      </c>
      <c r="D964" t="s">
        <v>49</v>
      </c>
      <c r="E964" t="s">
        <v>18</v>
      </c>
      <c r="F964" t="s">
        <v>19</v>
      </c>
      <c r="G964" t="s">
        <v>20</v>
      </c>
      <c r="H964" t="s">
        <v>21</v>
      </c>
      <c r="I964">
        <v>6</v>
      </c>
      <c r="J964">
        <v>530.08000000000004</v>
      </c>
      <c r="K964">
        <v>3180.48</v>
      </c>
      <c r="L964" t="s">
        <v>22</v>
      </c>
      <c r="M964" t="s">
        <v>22</v>
      </c>
      <c r="N964" s="1">
        <v>46203</v>
      </c>
      <c r="O964">
        <v>3180.48</v>
      </c>
    </row>
    <row r="965" spans="1:15" x14ac:dyDescent="0.3">
      <c r="A965" t="s">
        <v>1016</v>
      </c>
      <c r="B965" s="1">
        <v>46009</v>
      </c>
      <c r="C965" t="s">
        <v>959</v>
      </c>
      <c r="D965" t="s">
        <v>49</v>
      </c>
      <c r="E965" t="s">
        <v>18</v>
      </c>
      <c r="F965" t="s">
        <v>29</v>
      </c>
      <c r="G965" t="s">
        <v>20</v>
      </c>
      <c r="H965" t="s">
        <v>21</v>
      </c>
      <c r="I965">
        <v>6</v>
      </c>
      <c r="J965">
        <v>486.43</v>
      </c>
      <c r="K965">
        <v>2918.58</v>
      </c>
      <c r="L965" t="s">
        <v>22</v>
      </c>
      <c r="M965" t="s">
        <v>22</v>
      </c>
      <c r="N965" s="1">
        <v>46203</v>
      </c>
      <c r="O965">
        <v>2918.58</v>
      </c>
    </row>
    <row r="966" spans="1:15" x14ac:dyDescent="0.3">
      <c r="A966" t="s">
        <v>1017</v>
      </c>
      <c r="B966" s="1">
        <v>46009</v>
      </c>
      <c r="C966" t="s">
        <v>959</v>
      </c>
      <c r="D966" t="s">
        <v>49</v>
      </c>
      <c r="E966" t="s">
        <v>25</v>
      </c>
      <c r="F966" t="s">
        <v>33</v>
      </c>
      <c r="G966" t="s">
        <v>20</v>
      </c>
      <c r="H966" t="s">
        <v>40</v>
      </c>
      <c r="I966">
        <v>6</v>
      </c>
      <c r="J966">
        <v>525.27</v>
      </c>
      <c r="K966">
        <v>3151.62</v>
      </c>
      <c r="L966" t="s">
        <v>22</v>
      </c>
      <c r="M966" t="s">
        <v>22</v>
      </c>
      <c r="N966" s="1">
        <v>46203</v>
      </c>
      <c r="O966">
        <v>3151.62</v>
      </c>
    </row>
    <row r="967" spans="1:15" x14ac:dyDescent="0.3">
      <c r="A967" t="s">
        <v>1018</v>
      </c>
      <c r="B967" s="1">
        <v>46009</v>
      </c>
      <c r="C967" t="s">
        <v>959</v>
      </c>
      <c r="D967" t="s">
        <v>49</v>
      </c>
      <c r="E967" t="s">
        <v>50</v>
      </c>
      <c r="F967" t="s">
        <v>29</v>
      </c>
      <c r="G967" t="s">
        <v>20</v>
      </c>
      <c r="H967" t="s">
        <v>34</v>
      </c>
      <c r="I967">
        <v>6</v>
      </c>
      <c r="J967">
        <v>505.9</v>
      </c>
      <c r="K967">
        <v>3035.4</v>
      </c>
      <c r="L967" t="s">
        <v>22</v>
      </c>
      <c r="M967" t="s">
        <v>22</v>
      </c>
      <c r="N967" s="1">
        <v>46203</v>
      </c>
      <c r="O967">
        <v>3035.4</v>
      </c>
    </row>
    <row r="968" spans="1:15" x14ac:dyDescent="0.3">
      <c r="A968" t="s">
        <v>1019</v>
      </c>
      <c r="B968" s="1">
        <v>46009</v>
      </c>
      <c r="C968" t="s">
        <v>959</v>
      </c>
      <c r="D968" t="s">
        <v>49</v>
      </c>
      <c r="E968" t="s">
        <v>18</v>
      </c>
      <c r="F968" t="s">
        <v>38</v>
      </c>
      <c r="G968" t="s">
        <v>39</v>
      </c>
      <c r="H968" t="s">
        <v>34</v>
      </c>
      <c r="I968">
        <v>6</v>
      </c>
      <c r="J968">
        <v>454.46</v>
      </c>
      <c r="K968">
        <v>2726.76</v>
      </c>
      <c r="L968" t="s">
        <v>22</v>
      </c>
      <c r="M968" t="s">
        <v>22</v>
      </c>
      <c r="N968" s="1">
        <v>46203</v>
      </c>
      <c r="O968">
        <v>2726.76</v>
      </c>
    </row>
    <row r="969" spans="1:15" x14ac:dyDescent="0.3">
      <c r="A969" t="s">
        <v>1020</v>
      </c>
      <c r="B969" s="1">
        <v>46009</v>
      </c>
      <c r="C969" t="s">
        <v>959</v>
      </c>
      <c r="D969" t="s">
        <v>24</v>
      </c>
      <c r="E969" t="s">
        <v>25</v>
      </c>
      <c r="F969" t="s">
        <v>19</v>
      </c>
      <c r="G969" t="s">
        <v>20</v>
      </c>
      <c r="H969" t="s">
        <v>21</v>
      </c>
      <c r="I969">
        <v>2</v>
      </c>
      <c r="J969">
        <v>966.24</v>
      </c>
      <c r="K969">
        <v>1932.48</v>
      </c>
      <c r="L969" t="s">
        <v>30</v>
      </c>
      <c r="M969" t="s">
        <v>31</v>
      </c>
      <c r="N969" s="1">
        <v>46062</v>
      </c>
      <c r="O969">
        <v>1932.48</v>
      </c>
    </row>
    <row r="970" spans="1:15" x14ac:dyDescent="0.3">
      <c r="A970" t="s">
        <v>1021</v>
      </c>
      <c r="B970" s="1">
        <v>46010</v>
      </c>
      <c r="C970" t="s">
        <v>959</v>
      </c>
      <c r="D970" t="s">
        <v>17</v>
      </c>
      <c r="E970" t="s">
        <v>25</v>
      </c>
      <c r="F970" t="s">
        <v>29</v>
      </c>
      <c r="G970" t="s">
        <v>26</v>
      </c>
      <c r="H970" t="s">
        <v>40</v>
      </c>
      <c r="I970">
        <v>6</v>
      </c>
      <c r="J970">
        <v>1459.34</v>
      </c>
      <c r="K970">
        <v>8756.0400000000009</v>
      </c>
      <c r="L970" t="s">
        <v>22</v>
      </c>
      <c r="M970" t="s">
        <v>22</v>
      </c>
      <c r="N970" s="1">
        <v>46203</v>
      </c>
      <c r="O970">
        <v>8756.0400000000009</v>
      </c>
    </row>
    <row r="971" spans="1:15" x14ac:dyDescent="0.3">
      <c r="A971" t="s">
        <v>1022</v>
      </c>
      <c r="B971" s="1">
        <v>46010</v>
      </c>
      <c r="C971" t="s">
        <v>959</v>
      </c>
      <c r="D971" t="s">
        <v>24</v>
      </c>
      <c r="E971" t="s">
        <v>25</v>
      </c>
      <c r="F971" t="s">
        <v>19</v>
      </c>
      <c r="G971" t="s">
        <v>39</v>
      </c>
      <c r="H971" t="s">
        <v>21</v>
      </c>
      <c r="I971">
        <v>6</v>
      </c>
      <c r="J971">
        <v>852.37</v>
      </c>
      <c r="K971">
        <v>5114.22</v>
      </c>
      <c r="L971" t="s">
        <v>22</v>
      </c>
      <c r="M971" t="s">
        <v>22</v>
      </c>
      <c r="N971" s="1">
        <v>46203</v>
      </c>
      <c r="O971">
        <v>5114.22</v>
      </c>
    </row>
    <row r="972" spans="1:15" x14ac:dyDescent="0.3">
      <c r="A972" t="s">
        <v>1023</v>
      </c>
      <c r="B972" s="1">
        <v>46011</v>
      </c>
      <c r="C972" t="s">
        <v>959</v>
      </c>
      <c r="D972" t="s">
        <v>49</v>
      </c>
      <c r="E972" t="s">
        <v>18</v>
      </c>
      <c r="F972" t="s">
        <v>38</v>
      </c>
      <c r="G972" t="s">
        <v>39</v>
      </c>
      <c r="H972" t="s">
        <v>21</v>
      </c>
      <c r="I972">
        <v>3</v>
      </c>
      <c r="J972">
        <v>453.43</v>
      </c>
      <c r="K972">
        <v>1360.29</v>
      </c>
      <c r="L972" t="s">
        <v>30</v>
      </c>
      <c r="M972" t="s">
        <v>80</v>
      </c>
      <c r="N972" s="1">
        <v>46103</v>
      </c>
      <c r="O972">
        <v>1360.29</v>
      </c>
    </row>
    <row r="973" spans="1:15" x14ac:dyDescent="0.3">
      <c r="A973" t="s">
        <v>1024</v>
      </c>
      <c r="B973" s="1">
        <v>46011</v>
      </c>
      <c r="C973" t="s">
        <v>959</v>
      </c>
      <c r="D973" t="s">
        <v>49</v>
      </c>
      <c r="E973" t="s">
        <v>18</v>
      </c>
      <c r="F973" t="s">
        <v>38</v>
      </c>
      <c r="G973" t="s">
        <v>39</v>
      </c>
      <c r="H973" t="s">
        <v>45</v>
      </c>
      <c r="I973">
        <v>6</v>
      </c>
      <c r="J973">
        <v>529.39</v>
      </c>
      <c r="K973">
        <v>3176.34</v>
      </c>
      <c r="L973" t="s">
        <v>22</v>
      </c>
      <c r="M973" t="s">
        <v>22</v>
      </c>
      <c r="N973" s="1">
        <v>46203</v>
      </c>
      <c r="O973">
        <v>3176.34</v>
      </c>
    </row>
    <row r="974" spans="1:15" x14ac:dyDescent="0.3">
      <c r="A974" t="s">
        <v>1025</v>
      </c>
      <c r="B974" s="1">
        <v>46011</v>
      </c>
      <c r="C974" t="s">
        <v>959</v>
      </c>
      <c r="D974" t="s">
        <v>24</v>
      </c>
      <c r="E974" t="s">
        <v>28</v>
      </c>
      <c r="F974" t="s">
        <v>29</v>
      </c>
      <c r="G974" t="s">
        <v>20</v>
      </c>
      <c r="H974" t="s">
        <v>40</v>
      </c>
      <c r="I974">
        <v>6</v>
      </c>
      <c r="J974">
        <v>960.01</v>
      </c>
      <c r="K974">
        <v>5760.06</v>
      </c>
      <c r="L974" t="s">
        <v>22</v>
      </c>
      <c r="M974" t="s">
        <v>22</v>
      </c>
      <c r="N974" s="1">
        <v>46203</v>
      </c>
      <c r="O974">
        <v>5760.06</v>
      </c>
    </row>
    <row r="975" spans="1:15" x14ac:dyDescent="0.3">
      <c r="A975" t="s">
        <v>1026</v>
      </c>
      <c r="B975" s="1">
        <v>46011</v>
      </c>
      <c r="C975" t="s">
        <v>959</v>
      </c>
      <c r="D975" t="s">
        <v>24</v>
      </c>
      <c r="E975" t="s">
        <v>50</v>
      </c>
      <c r="F975" t="s">
        <v>19</v>
      </c>
      <c r="G975" t="s">
        <v>39</v>
      </c>
      <c r="H975" t="s">
        <v>34</v>
      </c>
      <c r="I975">
        <v>6</v>
      </c>
      <c r="J975">
        <v>840.51</v>
      </c>
      <c r="K975">
        <v>5043.0600000000004</v>
      </c>
      <c r="L975" t="s">
        <v>22</v>
      </c>
      <c r="M975" t="s">
        <v>22</v>
      </c>
      <c r="N975" s="1">
        <v>46203</v>
      </c>
      <c r="O975">
        <v>5043.0600000000004</v>
      </c>
    </row>
    <row r="976" spans="1:15" x14ac:dyDescent="0.3">
      <c r="A976" t="s">
        <v>1027</v>
      </c>
      <c r="B976" s="1">
        <v>46011</v>
      </c>
      <c r="C976" t="s">
        <v>959</v>
      </c>
      <c r="D976" t="s">
        <v>49</v>
      </c>
      <c r="E976" t="s">
        <v>18</v>
      </c>
      <c r="F976" t="s">
        <v>29</v>
      </c>
      <c r="G976" t="s">
        <v>39</v>
      </c>
      <c r="H976" t="s">
        <v>34</v>
      </c>
      <c r="I976">
        <v>6</v>
      </c>
      <c r="J976">
        <v>528.73</v>
      </c>
      <c r="K976">
        <v>3172.38</v>
      </c>
      <c r="L976" t="s">
        <v>22</v>
      </c>
      <c r="M976" t="s">
        <v>22</v>
      </c>
      <c r="N976" s="1">
        <v>46203</v>
      </c>
      <c r="O976">
        <v>3172.38</v>
      </c>
    </row>
    <row r="977" spans="1:15" x14ac:dyDescent="0.3">
      <c r="A977" t="s">
        <v>1028</v>
      </c>
      <c r="B977" s="1">
        <v>46011</v>
      </c>
      <c r="C977" t="s">
        <v>959</v>
      </c>
      <c r="D977" t="s">
        <v>24</v>
      </c>
      <c r="E977" t="s">
        <v>18</v>
      </c>
      <c r="F977" t="s">
        <v>29</v>
      </c>
      <c r="G977" t="s">
        <v>39</v>
      </c>
      <c r="H977" t="s">
        <v>40</v>
      </c>
      <c r="I977">
        <v>6</v>
      </c>
      <c r="J977">
        <v>871.71</v>
      </c>
      <c r="K977">
        <v>5230.26</v>
      </c>
      <c r="L977" t="s">
        <v>22</v>
      </c>
      <c r="M977" t="s">
        <v>22</v>
      </c>
      <c r="N977" s="1">
        <v>46203</v>
      </c>
      <c r="O977">
        <v>5230.26</v>
      </c>
    </row>
    <row r="978" spans="1:15" x14ac:dyDescent="0.3">
      <c r="A978" t="s">
        <v>1029</v>
      </c>
      <c r="B978" s="1">
        <v>46012</v>
      </c>
      <c r="C978" t="s">
        <v>959</v>
      </c>
      <c r="D978" t="s">
        <v>24</v>
      </c>
      <c r="E978" t="s">
        <v>25</v>
      </c>
      <c r="F978" t="s">
        <v>51</v>
      </c>
      <c r="G978" t="s">
        <v>39</v>
      </c>
      <c r="H978" t="s">
        <v>45</v>
      </c>
      <c r="I978">
        <v>6</v>
      </c>
      <c r="J978">
        <v>952.55</v>
      </c>
      <c r="K978">
        <v>5715.3</v>
      </c>
      <c r="L978" t="s">
        <v>22</v>
      </c>
      <c r="M978" t="s">
        <v>22</v>
      </c>
      <c r="N978" s="1">
        <v>46203</v>
      </c>
      <c r="O978">
        <v>5715.3</v>
      </c>
    </row>
    <row r="979" spans="1:15" x14ac:dyDescent="0.3">
      <c r="A979" t="s">
        <v>1030</v>
      </c>
      <c r="B979" s="1">
        <v>46012</v>
      </c>
      <c r="C979" t="s">
        <v>959</v>
      </c>
      <c r="D979" t="s">
        <v>24</v>
      </c>
      <c r="E979" t="s">
        <v>28</v>
      </c>
      <c r="F979" t="s">
        <v>29</v>
      </c>
      <c r="G979" t="s">
        <v>39</v>
      </c>
      <c r="H979" t="s">
        <v>21</v>
      </c>
      <c r="I979">
        <v>6</v>
      </c>
      <c r="J979">
        <v>861.25</v>
      </c>
      <c r="K979">
        <v>5167.5</v>
      </c>
      <c r="L979" t="s">
        <v>22</v>
      </c>
      <c r="M979" t="s">
        <v>22</v>
      </c>
      <c r="N979" s="1">
        <v>46203</v>
      </c>
      <c r="O979">
        <v>5167.5</v>
      </c>
    </row>
    <row r="980" spans="1:15" x14ac:dyDescent="0.3">
      <c r="A980" t="s">
        <v>1031</v>
      </c>
      <c r="B980" s="1">
        <v>46012</v>
      </c>
      <c r="C980" t="s">
        <v>959</v>
      </c>
      <c r="D980" t="s">
        <v>17</v>
      </c>
      <c r="E980" t="s">
        <v>25</v>
      </c>
      <c r="F980" t="s">
        <v>33</v>
      </c>
      <c r="G980" t="s">
        <v>39</v>
      </c>
      <c r="H980" t="s">
        <v>21</v>
      </c>
      <c r="I980">
        <v>2</v>
      </c>
      <c r="J980">
        <v>1502.13</v>
      </c>
      <c r="K980">
        <v>3004.26</v>
      </c>
      <c r="L980" t="s">
        <v>30</v>
      </c>
      <c r="M980" t="s">
        <v>43</v>
      </c>
      <c r="N980" s="1">
        <v>46084</v>
      </c>
      <c r="O980">
        <v>3004.26</v>
      </c>
    </row>
    <row r="981" spans="1:15" x14ac:dyDescent="0.3">
      <c r="A981" t="s">
        <v>1032</v>
      </c>
      <c r="B981" s="1">
        <v>46013</v>
      </c>
      <c r="C981" t="s">
        <v>959</v>
      </c>
      <c r="D981" t="s">
        <v>17</v>
      </c>
      <c r="E981" t="s">
        <v>18</v>
      </c>
      <c r="F981" t="s">
        <v>51</v>
      </c>
      <c r="G981" t="s">
        <v>20</v>
      </c>
      <c r="H981" t="s">
        <v>21</v>
      </c>
      <c r="I981">
        <v>6</v>
      </c>
      <c r="J981">
        <v>1458.89</v>
      </c>
      <c r="K981">
        <v>8753.34</v>
      </c>
      <c r="L981" t="s">
        <v>22</v>
      </c>
      <c r="M981" t="s">
        <v>22</v>
      </c>
      <c r="N981" s="1">
        <v>46203</v>
      </c>
      <c r="O981">
        <v>8753.34</v>
      </c>
    </row>
    <row r="982" spans="1:15" x14ac:dyDescent="0.3">
      <c r="A982" t="s">
        <v>1033</v>
      </c>
      <c r="B982" s="1">
        <v>46013</v>
      </c>
      <c r="C982" t="s">
        <v>959</v>
      </c>
      <c r="D982" t="s">
        <v>49</v>
      </c>
      <c r="E982" t="s">
        <v>25</v>
      </c>
      <c r="F982" t="s">
        <v>51</v>
      </c>
      <c r="G982" t="s">
        <v>39</v>
      </c>
      <c r="H982" t="s">
        <v>34</v>
      </c>
      <c r="I982">
        <v>6</v>
      </c>
      <c r="J982">
        <v>518.24</v>
      </c>
      <c r="K982">
        <v>3109.44</v>
      </c>
      <c r="L982" t="s">
        <v>22</v>
      </c>
      <c r="M982" t="s">
        <v>22</v>
      </c>
      <c r="N982" s="1">
        <v>46203</v>
      </c>
      <c r="O982">
        <v>3109.44</v>
      </c>
    </row>
    <row r="983" spans="1:15" x14ac:dyDescent="0.3">
      <c r="A983" t="s">
        <v>1034</v>
      </c>
      <c r="B983" s="1">
        <v>46013</v>
      </c>
      <c r="C983" t="s">
        <v>959</v>
      </c>
      <c r="D983" t="s">
        <v>17</v>
      </c>
      <c r="E983" t="s">
        <v>25</v>
      </c>
      <c r="F983" t="s">
        <v>19</v>
      </c>
      <c r="G983" t="s">
        <v>39</v>
      </c>
      <c r="H983" t="s">
        <v>34</v>
      </c>
      <c r="I983">
        <v>6</v>
      </c>
      <c r="J983">
        <v>1555.99</v>
      </c>
      <c r="K983">
        <v>9335.94</v>
      </c>
      <c r="L983" t="s">
        <v>22</v>
      </c>
      <c r="M983" t="s">
        <v>22</v>
      </c>
      <c r="N983" s="1">
        <v>46203</v>
      </c>
      <c r="O983">
        <v>9335.94</v>
      </c>
    </row>
    <row r="984" spans="1:15" x14ac:dyDescent="0.3">
      <c r="A984" t="s">
        <v>1035</v>
      </c>
      <c r="B984" s="1">
        <v>46014</v>
      </c>
      <c r="C984" t="s">
        <v>959</v>
      </c>
      <c r="D984" t="s">
        <v>17</v>
      </c>
      <c r="E984" t="s">
        <v>25</v>
      </c>
      <c r="F984" t="s">
        <v>29</v>
      </c>
      <c r="G984" t="s">
        <v>20</v>
      </c>
      <c r="H984" t="s">
        <v>40</v>
      </c>
      <c r="I984">
        <v>3</v>
      </c>
      <c r="J984">
        <v>1510.15</v>
      </c>
      <c r="K984">
        <v>4530.45</v>
      </c>
      <c r="L984" t="s">
        <v>30</v>
      </c>
      <c r="M984" t="s">
        <v>80</v>
      </c>
      <c r="N984" s="1">
        <v>46103</v>
      </c>
      <c r="O984">
        <v>4530.45</v>
      </c>
    </row>
    <row r="985" spans="1:15" x14ac:dyDescent="0.3">
      <c r="A985" t="s">
        <v>1036</v>
      </c>
      <c r="B985" s="1">
        <v>46015</v>
      </c>
      <c r="C985" t="s">
        <v>959</v>
      </c>
      <c r="D985" t="s">
        <v>24</v>
      </c>
      <c r="E985" t="s">
        <v>25</v>
      </c>
      <c r="F985" t="s">
        <v>33</v>
      </c>
      <c r="G985" t="s">
        <v>39</v>
      </c>
      <c r="H985" t="s">
        <v>45</v>
      </c>
      <c r="I985">
        <v>5</v>
      </c>
      <c r="J985">
        <v>948</v>
      </c>
      <c r="K985">
        <v>4740</v>
      </c>
      <c r="L985" t="s">
        <v>30</v>
      </c>
      <c r="M985" t="s">
        <v>31</v>
      </c>
      <c r="N985" s="1">
        <v>46153</v>
      </c>
      <c r="O985">
        <v>4740</v>
      </c>
    </row>
    <row r="986" spans="1:15" x14ac:dyDescent="0.3">
      <c r="A986" t="s">
        <v>1037</v>
      </c>
      <c r="B986" s="1">
        <v>46015</v>
      </c>
      <c r="C986" t="s">
        <v>959</v>
      </c>
      <c r="D986" t="s">
        <v>17</v>
      </c>
      <c r="E986" t="s">
        <v>28</v>
      </c>
      <c r="F986" t="s">
        <v>33</v>
      </c>
      <c r="G986" t="s">
        <v>39</v>
      </c>
      <c r="H986" t="s">
        <v>21</v>
      </c>
      <c r="I986">
        <v>6</v>
      </c>
      <c r="J986">
        <v>1632.95</v>
      </c>
      <c r="K986">
        <v>9797.7000000000007</v>
      </c>
      <c r="L986" t="s">
        <v>22</v>
      </c>
      <c r="M986" t="s">
        <v>22</v>
      </c>
      <c r="N986" s="1">
        <v>46203</v>
      </c>
      <c r="O986">
        <v>9797.7000000000007</v>
      </c>
    </row>
    <row r="987" spans="1:15" x14ac:dyDescent="0.3">
      <c r="A987" t="s">
        <v>1038</v>
      </c>
      <c r="B987" s="1">
        <v>46015</v>
      </c>
      <c r="C987" t="s">
        <v>959</v>
      </c>
      <c r="D987" t="s">
        <v>49</v>
      </c>
      <c r="E987" t="s">
        <v>25</v>
      </c>
      <c r="F987" t="s">
        <v>33</v>
      </c>
      <c r="G987" t="s">
        <v>20</v>
      </c>
      <c r="H987" t="s">
        <v>40</v>
      </c>
      <c r="I987">
        <v>6</v>
      </c>
      <c r="J987">
        <v>462.41</v>
      </c>
      <c r="K987">
        <v>2774.46</v>
      </c>
      <c r="L987" t="s">
        <v>22</v>
      </c>
      <c r="M987" t="s">
        <v>22</v>
      </c>
      <c r="N987" s="1">
        <v>46203</v>
      </c>
      <c r="O987">
        <v>2774.46</v>
      </c>
    </row>
    <row r="988" spans="1:15" x14ac:dyDescent="0.3">
      <c r="A988" t="s">
        <v>1039</v>
      </c>
      <c r="B988" s="1">
        <v>46015</v>
      </c>
      <c r="C988" t="s">
        <v>959</v>
      </c>
      <c r="D988" t="s">
        <v>49</v>
      </c>
      <c r="E988" t="s">
        <v>25</v>
      </c>
      <c r="F988" t="s">
        <v>51</v>
      </c>
      <c r="G988" t="s">
        <v>39</v>
      </c>
      <c r="H988" t="s">
        <v>21</v>
      </c>
      <c r="I988">
        <v>6</v>
      </c>
      <c r="J988">
        <v>509.68</v>
      </c>
      <c r="K988">
        <v>3058.08</v>
      </c>
      <c r="L988" t="s">
        <v>22</v>
      </c>
      <c r="M988" t="s">
        <v>22</v>
      </c>
      <c r="N988" s="1">
        <v>46203</v>
      </c>
      <c r="O988">
        <v>3058.08</v>
      </c>
    </row>
    <row r="989" spans="1:15" x14ac:dyDescent="0.3">
      <c r="A989" t="s">
        <v>1040</v>
      </c>
      <c r="B989" s="1">
        <v>46016</v>
      </c>
      <c r="C989" t="s">
        <v>959</v>
      </c>
      <c r="D989" t="s">
        <v>24</v>
      </c>
      <c r="E989" t="s">
        <v>18</v>
      </c>
      <c r="F989" t="s">
        <v>19</v>
      </c>
      <c r="G989" t="s">
        <v>39</v>
      </c>
      <c r="H989" t="s">
        <v>21</v>
      </c>
      <c r="I989">
        <v>3</v>
      </c>
      <c r="J989">
        <v>879.48</v>
      </c>
      <c r="K989">
        <v>2638.44</v>
      </c>
      <c r="L989" t="s">
        <v>30</v>
      </c>
      <c r="M989" t="s">
        <v>41</v>
      </c>
      <c r="N989" s="1">
        <v>46097</v>
      </c>
      <c r="O989">
        <v>2638.44</v>
      </c>
    </row>
    <row r="990" spans="1:15" x14ac:dyDescent="0.3">
      <c r="A990" t="s">
        <v>1041</v>
      </c>
      <c r="B990" s="1">
        <v>46017</v>
      </c>
      <c r="C990" t="s">
        <v>959</v>
      </c>
      <c r="D990" t="s">
        <v>49</v>
      </c>
      <c r="E990" t="s">
        <v>25</v>
      </c>
      <c r="F990" t="s">
        <v>19</v>
      </c>
      <c r="G990" t="s">
        <v>20</v>
      </c>
      <c r="H990" t="s">
        <v>34</v>
      </c>
      <c r="I990">
        <v>3</v>
      </c>
      <c r="J990">
        <v>451.86</v>
      </c>
      <c r="K990">
        <v>1355.58</v>
      </c>
      <c r="L990" t="s">
        <v>30</v>
      </c>
      <c r="M990" t="s">
        <v>36</v>
      </c>
      <c r="N990" s="1">
        <v>46094</v>
      </c>
      <c r="O990">
        <v>1355.58</v>
      </c>
    </row>
    <row r="991" spans="1:15" x14ac:dyDescent="0.3">
      <c r="A991" t="s">
        <v>1042</v>
      </c>
      <c r="B991" s="1">
        <v>46018</v>
      </c>
      <c r="C991" t="s">
        <v>959</v>
      </c>
      <c r="D991" t="s">
        <v>24</v>
      </c>
      <c r="E991" t="s">
        <v>28</v>
      </c>
      <c r="F991" t="s">
        <v>19</v>
      </c>
      <c r="G991" t="s">
        <v>39</v>
      </c>
      <c r="H991" t="s">
        <v>45</v>
      </c>
      <c r="I991">
        <v>6</v>
      </c>
      <c r="J991">
        <v>848.89</v>
      </c>
      <c r="K991">
        <v>5093.34</v>
      </c>
      <c r="L991" t="s">
        <v>22</v>
      </c>
      <c r="M991" t="s">
        <v>22</v>
      </c>
      <c r="N991" s="1">
        <v>46203</v>
      </c>
      <c r="O991">
        <v>5093.34</v>
      </c>
    </row>
    <row r="992" spans="1:15" x14ac:dyDescent="0.3">
      <c r="A992" t="s">
        <v>1043</v>
      </c>
      <c r="B992" s="1">
        <v>46019</v>
      </c>
      <c r="C992" t="s">
        <v>959</v>
      </c>
      <c r="D992" t="s">
        <v>24</v>
      </c>
      <c r="E992" t="s">
        <v>25</v>
      </c>
      <c r="F992" t="s">
        <v>29</v>
      </c>
      <c r="G992" t="s">
        <v>20</v>
      </c>
      <c r="H992" t="s">
        <v>21</v>
      </c>
      <c r="I992">
        <v>6</v>
      </c>
      <c r="J992">
        <v>978.35</v>
      </c>
      <c r="K992">
        <v>5870.1</v>
      </c>
      <c r="L992" t="s">
        <v>22</v>
      </c>
      <c r="M992" t="s">
        <v>22</v>
      </c>
      <c r="N992" s="1">
        <v>46203</v>
      </c>
      <c r="O992">
        <v>5870.1</v>
      </c>
    </row>
    <row r="993" spans="1:15" x14ac:dyDescent="0.3">
      <c r="A993" t="s">
        <v>1044</v>
      </c>
      <c r="B993" s="1">
        <v>46019</v>
      </c>
      <c r="C993" t="s">
        <v>959</v>
      </c>
      <c r="D993" t="s">
        <v>17</v>
      </c>
      <c r="E993" t="s">
        <v>25</v>
      </c>
      <c r="F993" t="s">
        <v>33</v>
      </c>
      <c r="G993" t="s">
        <v>39</v>
      </c>
      <c r="H993" t="s">
        <v>40</v>
      </c>
      <c r="I993">
        <v>6</v>
      </c>
      <c r="J993">
        <v>1490</v>
      </c>
      <c r="K993">
        <v>8940</v>
      </c>
      <c r="L993" t="s">
        <v>22</v>
      </c>
      <c r="M993" t="s">
        <v>22</v>
      </c>
      <c r="N993" s="1">
        <v>46203</v>
      </c>
      <c r="O993">
        <v>8940</v>
      </c>
    </row>
    <row r="994" spans="1:15" x14ac:dyDescent="0.3">
      <c r="A994" t="s">
        <v>1045</v>
      </c>
      <c r="B994" s="1">
        <v>46020</v>
      </c>
      <c r="C994" t="s">
        <v>959</v>
      </c>
      <c r="D994" t="s">
        <v>24</v>
      </c>
      <c r="E994" t="s">
        <v>25</v>
      </c>
      <c r="F994" t="s">
        <v>29</v>
      </c>
      <c r="G994" t="s">
        <v>39</v>
      </c>
      <c r="H994" t="s">
        <v>21</v>
      </c>
      <c r="I994">
        <v>6</v>
      </c>
      <c r="J994">
        <v>921.06</v>
      </c>
      <c r="K994">
        <v>5526.36</v>
      </c>
      <c r="L994" t="s">
        <v>22</v>
      </c>
      <c r="M994" t="s">
        <v>22</v>
      </c>
      <c r="N994" s="1">
        <v>46203</v>
      </c>
      <c r="O994">
        <v>5526.36</v>
      </c>
    </row>
    <row r="995" spans="1:15" x14ac:dyDescent="0.3">
      <c r="A995" t="s">
        <v>1046</v>
      </c>
      <c r="B995" s="1">
        <v>46020</v>
      </c>
      <c r="C995" t="s">
        <v>959</v>
      </c>
      <c r="D995" t="s">
        <v>24</v>
      </c>
      <c r="E995" t="s">
        <v>50</v>
      </c>
      <c r="F995" t="s">
        <v>51</v>
      </c>
      <c r="G995" t="s">
        <v>39</v>
      </c>
      <c r="H995" t="s">
        <v>45</v>
      </c>
      <c r="I995">
        <v>6</v>
      </c>
      <c r="J995">
        <v>956.68</v>
      </c>
      <c r="K995">
        <v>5740.08</v>
      </c>
      <c r="L995" t="s">
        <v>22</v>
      </c>
      <c r="M995" t="s">
        <v>22</v>
      </c>
      <c r="N995" s="1">
        <v>46203</v>
      </c>
      <c r="O995">
        <v>5740.08</v>
      </c>
    </row>
    <row r="996" spans="1:15" x14ac:dyDescent="0.3">
      <c r="A996" t="s">
        <v>1047</v>
      </c>
      <c r="B996" s="1">
        <v>46021</v>
      </c>
      <c r="C996" t="s">
        <v>959</v>
      </c>
      <c r="D996" t="s">
        <v>49</v>
      </c>
      <c r="E996" t="s">
        <v>25</v>
      </c>
      <c r="F996" t="s">
        <v>38</v>
      </c>
      <c r="G996" t="s">
        <v>39</v>
      </c>
      <c r="H996" t="s">
        <v>34</v>
      </c>
      <c r="I996">
        <v>6</v>
      </c>
      <c r="J996">
        <v>490.87</v>
      </c>
      <c r="K996">
        <v>2945.22</v>
      </c>
      <c r="L996" t="s">
        <v>22</v>
      </c>
      <c r="M996" t="s">
        <v>22</v>
      </c>
      <c r="N996" s="1">
        <v>46203</v>
      </c>
      <c r="O996">
        <v>2945.22</v>
      </c>
    </row>
    <row r="997" spans="1:15" x14ac:dyDescent="0.3">
      <c r="A997" t="s">
        <v>1048</v>
      </c>
      <c r="B997" s="1">
        <v>46021</v>
      </c>
      <c r="C997" t="s">
        <v>959</v>
      </c>
      <c r="D997" t="s">
        <v>17</v>
      </c>
      <c r="E997" t="s">
        <v>50</v>
      </c>
      <c r="F997" t="s">
        <v>33</v>
      </c>
      <c r="G997" t="s">
        <v>20</v>
      </c>
      <c r="H997" t="s">
        <v>21</v>
      </c>
      <c r="I997">
        <v>6</v>
      </c>
      <c r="J997">
        <v>1561.78</v>
      </c>
      <c r="K997">
        <v>9370.68</v>
      </c>
      <c r="L997" t="s">
        <v>22</v>
      </c>
      <c r="M997" t="s">
        <v>22</v>
      </c>
      <c r="N997" s="1">
        <v>46203</v>
      </c>
      <c r="O997">
        <v>9370.68</v>
      </c>
    </row>
    <row r="998" spans="1:15" x14ac:dyDescent="0.3">
      <c r="A998" t="s">
        <v>1049</v>
      </c>
      <c r="B998" s="1">
        <v>46021</v>
      </c>
      <c r="C998" t="s">
        <v>959</v>
      </c>
      <c r="D998" t="s">
        <v>24</v>
      </c>
      <c r="E998" t="s">
        <v>25</v>
      </c>
      <c r="F998" t="s">
        <v>29</v>
      </c>
      <c r="G998" t="s">
        <v>39</v>
      </c>
      <c r="H998" t="s">
        <v>21</v>
      </c>
      <c r="I998">
        <v>3</v>
      </c>
      <c r="J998">
        <v>945.76</v>
      </c>
      <c r="K998">
        <v>2837.28</v>
      </c>
      <c r="L998" t="s">
        <v>30</v>
      </c>
      <c r="M998" t="s">
        <v>80</v>
      </c>
      <c r="N998" s="1">
        <v>46104</v>
      </c>
      <c r="O998">
        <v>2837.28</v>
      </c>
    </row>
    <row r="999" spans="1:15" x14ac:dyDescent="0.3">
      <c r="A999" t="s">
        <v>1050</v>
      </c>
      <c r="B999" s="1">
        <v>46021</v>
      </c>
      <c r="C999" t="s">
        <v>959</v>
      </c>
      <c r="D999" t="s">
        <v>24</v>
      </c>
      <c r="E999" t="s">
        <v>25</v>
      </c>
      <c r="F999" t="s">
        <v>29</v>
      </c>
      <c r="G999" t="s">
        <v>39</v>
      </c>
      <c r="H999" t="s">
        <v>40</v>
      </c>
      <c r="I999">
        <v>6</v>
      </c>
      <c r="J999">
        <v>960.09</v>
      </c>
      <c r="K999">
        <v>5760.54</v>
      </c>
      <c r="L999" t="s">
        <v>22</v>
      </c>
      <c r="M999" t="s">
        <v>22</v>
      </c>
      <c r="N999" s="1">
        <v>46203</v>
      </c>
      <c r="O999">
        <v>5760.54</v>
      </c>
    </row>
    <row r="1000" spans="1:15" x14ac:dyDescent="0.3">
      <c r="A1000" t="s">
        <v>1051</v>
      </c>
      <c r="B1000" s="1">
        <v>46022</v>
      </c>
      <c r="C1000" t="s">
        <v>959</v>
      </c>
      <c r="D1000" t="s">
        <v>17</v>
      </c>
      <c r="E1000" t="s">
        <v>50</v>
      </c>
      <c r="F1000" t="s">
        <v>29</v>
      </c>
      <c r="G1000" t="s">
        <v>39</v>
      </c>
      <c r="H1000" t="s">
        <v>21</v>
      </c>
      <c r="I1000">
        <v>6</v>
      </c>
      <c r="J1000">
        <v>1529.08</v>
      </c>
      <c r="K1000">
        <v>9174.48</v>
      </c>
      <c r="L1000" t="s">
        <v>22</v>
      </c>
      <c r="M1000" t="s">
        <v>22</v>
      </c>
      <c r="N1000" s="1">
        <v>46203</v>
      </c>
      <c r="O1000">
        <v>9174.48</v>
      </c>
    </row>
    <row r="1001" spans="1:15" x14ac:dyDescent="0.3">
      <c r="A1001" t="s">
        <v>1052</v>
      </c>
      <c r="B1001" s="1">
        <v>46022</v>
      </c>
      <c r="C1001" t="s">
        <v>959</v>
      </c>
      <c r="D1001" t="s">
        <v>24</v>
      </c>
      <c r="E1001" t="s">
        <v>28</v>
      </c>
      <c r="F1001" t="s">
        <v>29</v>
      </c>
      <c r="G1001" t="s">
        <v>39</v>
      </c>
      <c r="H1001" t="s">
        <v>40</v>
      </c>
      <c r="I1001">
        <v>6</v>
      </c>
      <c r="J1001">
        <v>958.92</v>
      </c>
      <c r="K1001">
        <v>5753.52</v>
      </c>
      <c r="L1001" t="s">
        <v>22</v>
      </c>
      <c r="M1001" t="s">
        <v>22</v>
      </c>
      <c r="N1001" s="1">
        <v>46203</v>
      </c>
      <c r="O1001">
        <v>5753.52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KPI Summary</vt:lpstr>
      <vt:lpstr>Churn Analysis</vt:lpstr>
      <vt:lpstr>Dashboard</vt:lpstr>
      <vt:lpstr>Raw Customer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V</cp:lastModifiedBy>
  <cp:lastPrinted>2026-09-27T09:14:54Z</cp:lastPrinted>
  <dcterms:created xsi:type="dcterms:W3CDTF">2026-09-18T02:40:13Z</dcterms:created>
  <dcterms:modified xsi:type="dcterms:W3CDTF">2026-09-27T09:18:09Z</dcterms:modified>
</cp:coreProperties>
</file>